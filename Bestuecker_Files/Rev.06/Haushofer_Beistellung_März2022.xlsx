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GIT\UltraZohm\pcb_design\uz_a_ltc2311-16\Bestuecker_Files\Rev.06\"/>
    </mc:Choice>
  </mc:AlternateContent>
  <xr:revisionPtr revIDLastSave="0" documentId="13_ncr:1_{465099E6-88EC-481C-ADC7-9072014D273F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5" i="1" l="1"/>
  <c r="K15" i="1" s="1"/>
  <c r="F8" i="1"/>
  <c r="K8" i="1" s="1"/>
  <c r="F6" i="1" l="1"/>
  <c r="K6" i="1" s="1"/>
  <c r="F14" i="1"/>
  <c r="K14" i="1" s="1"/>
  <c r="F5" i="1"/>
  <c r="K5" i="1" s="1"/>
  <c r="F13" i="1"/>
  <c r="K13" i="1" s="1"/>
  <c r="F11" i="1"/>
  <c r="K11" i="1" s="1"/>
  <c r="F12" i="1"/>
  <c r="K12" i="1" s="1"/>
  <c r="F7" i="1"/>
  <c r="K7" i="1" s="1"/>
  <c r="F9" i="1"/>
  <c r="K9" i="1" s="1"/>
  <c r="F2" i="1"/>
  <c r="K2" i="1" s="1"/>
  <c r="F4" i="1"/>
  <c r="K4" i="1" s="1"/>
  <c r="F3" i="1"/>
  <c r="K3" i="1" s="1"/>
  <c r="F10" i="1"/>
  <c r="K10" i="1" s="1"/>
</calcChain>
</file>

<file path=xl/sharedStrings.xml><?xml version="1.0" encoding="utf-8"?>
<sst xmlns="http://schemas.openxmlformats.org/spreadsheetml/2006/main" count="97" uniqueCount="76">
  <si>
    <t>BUF634AIDR</t>
  </si>
  <si>
    <t>LM5007</t>
  </si>
  <si>
    <t>Analog Devices</t>
  </si>
  <si>
    <t>Texas Instruments</t>
  </si>
  <si>
    <t>Comment</t>
  </si>
  <si>
    <t>Designator</t>
  </si>
  <si>
    <t>MF</t>
  </si>
  <si>
    <t>Description</t>
  </si>
  <si>
    <t>U1, U4</t>
  </si>
  <si>
    <t>Buck Converter, 9-75Vin, 2.5-73Vout</t>
  </si>
  <si>
    <t>LP2985A-25</t>
  </si>
  <si>
    <t>U2</t>
  </si>
  <si>
    <t>150mA, LDO, Vout = 2.5V, Vin,max = 16V</t>
  </si>
  <si>
    <t>LT6654-5</t>
  </si>
  <si>
    <t>U3</t>
  </si>
  <si>
    <t>4-channel output LVCMOS 1.8-V buffer</t>
  </si>
  <si>
    <t>LTC2311</t>
  </si>
  <si>
    <t>U6A, U6B, U6C, U6D, U6E, U6F, U6G, U6H</t>
  </si>
  <si>
    <t>16 Bit SAR ADC, 5MSps</t>
  </si>
  <si>
    <t>LT6203</t>
  </si>
  <si>
    <t>U7A, U7B, U7C, U7D, U7E, U7F, U7G, U7H</t>
  </si>
  <si>
    <t>Linear Technology</t>
  </si>
  <si>
    <t>2 Ch Low Noise, Low Power OpAmp</t>
  </si>
  <si>
    <t>TPS7A30</t>
  </si>
  <si>
    <t>U8</t>
  </si>
  <si>
    <t>-36V, -200mA, Ultralow-Noise, High PSRR, Adjustable -1.18 to -33 V Output, Negative Linear Regulator, 8-pin MSOP (DGN), -40 to 125 degC, Green (RoHS &amp; no Sb/Br)</t>
  </si>
  <si>
    <t>TPS7A49</t>
  </si>
  <si>
    <t>U9</t>
  </si>
  <si>
    <t>+36V, +150mA, Ultralow-Noise, Positive LINEAR REGULATOR, DGN0008D</t>
  </si>
  <si>
    <t>LP2985A-50</t>
  </si>
  <si>
    <t>U10</t>
  </si>
  <si>
    <t>150mA, LDO, Vout = 5V, Vin,max = 16V</t>
  </si>
  <si>
    <t>U11</t>
  </si>
  <si>
    <t>IC OP AMP BUFFER 8SOIC</t>
  </si>
  <si>
    <t>LP2985A-18</t>
  </si>
  <si>
    <t>U14</t>
  </si>
  <si>
    <t>150mA, LDO, Vout = 1.8V , Vin,max = 16V</t>
  </si>
  <si>
    <t>U15A, U15B, U15C, U15D, U15E, U15F, U15G, U15H</t>
  </si>
  <si>
    <t>IC AMP RRO NEG OUT VLP 8VSSOP (Single Channel fully differential Amplifier)</t>
  </si>
  <si>
    <t>Quantity per PCB</t>
  </si>
  <si>
    <t>Benötigt für 20 PCBs</t>
  </si>
  <si>
    <t>Number of PCBs</t>
  </si>
  <si>
    <t>Aktuell im ZC Lager</t>
  </si>
  <si>
    <t>5V Spannungsreferenz</t>
  </si>
  <si>
    <t>THS4561</t>
  </si>
  <si>
    <t xml:space="preserve">IPL1-108-01-L-D-RA-K </t>
  </si>
  <si>
    <t>SAMTEC</t>
  </si>
  <si>
    <t>X2</t>
  </si>
  <si>
    <t>D6</t>
  </si>
  <si>
    <t>Bestellungen</t>
  </si>
  <si>
    <t>Win-Source</t>
  </si>
  <si>
    <t>Mouser</t>
  </si>
  <si>
    <t>RS</t>
  </si>
  <si>
    <t>Verical/Arrow</t>
  </si>
  <si>
    <t>Shop</t>
  </si>
  <si>
    <t>Bilanz</t>
  </si>
  <si>
    <t>ETA</t>
  </si>
  <si>
    <t>https://www.verical.com/account/order-detail/WEB-SO2847811</t>
  </si>
  <si>
    <t>https://www.mouser.de/OrderHistory/OrderDetail.aspx?qs=Sn2QTPuoay%252BUEfD1VQ4ZfDBve988UTibrdU1iKF%2fMWU%3d</t>
  </si>
  <si>
    <t>https://www.digikey.de/MyDigiKey/ReviewOrder</t>
  </si>
  <si>
    <t>https://www.mouser.de/OrderHistory/OrderDetail.aspx?qs=Sn2QTPuoay%252BUEfD1VQ4ZfNBDnpuXJl6sxzMPctVe%252BTA%3d</t>
  </si>
  <si>
    <t>Arrow</t>
  </si>
  <si>
    <t>https://www.arrow.com/en/account/order/order-history-detail/WEB-SO25999510</t>
  </si>
  <si>
    <t>delivered</t>
  </si>
  <si>
    <t>delivered on Feb 14</t>
  </si>
  <si>
    <t>delivered on Feb 7</t>
  </si>
  <si>
    <t>https://www.fedex.com/fedextrack/?trknbr=566458541843&amp;trkqual=2459621000~566458541843~FX</t>
  </si>
  <si>
    <t>LMK1C1108</t>
  </si>
  <si>
    <t>U5</t>
  </si>
  <si>
    <t>D5V0L1B2WS-7</t>
  </si>
  <si>
    <t>DIODES INCORPORATED</t>
  </si>
  <si>
    <t>ESD Suppressor Diode TVS Bi-Dir 5V 2-Pin SOD-323 T/R</t>
  </si>
  <si>
    <t>Mouser delivered</t>
  </si>
  <si>
    <t>digi-key (100) &amp; Mouser (25)</t>
  </si>
  <si>
    <t>https://wwwapps.ups.com/tracking/tracking.cgi?tracknum=1ZWA47976635939104&amp;requester=ST/trackdetails</t>
  </si>
  <si>
    <t>Beigestellte Menge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</si>
</sst>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8"/>
      <color indexed="13"/>
      <name val="Arial"/>
      <family val="2"/>
    </font>
    <font>
      <b/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3A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Font="1"/>
    <xf numFmtId="0" fontId="2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2" fillId="2" borderId="0" xfId="0" applyFont="1" applyFill="1" applyBorder="1" applyAlignment="1">
      <alignment wrapText="1"/>
    </xf>
    <xf numFmtId="0" fontId="5" fillId="3" borderId="0" xfId="1" applyAlignment="1">
      <alignment wrapText="1"/>
    </xf>
    <xf numFmtId="0" fontId="6" fillId="0" borderId="0" xfId="2" applyFill="1" applyAlignment="1">
      <alignment wrapText="1"/>
    </xf>
    <xf numFmtId="0" fontId="7" fillId="0" borderId="0" xfId="3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 applyAlignment="1"/>
    <xf numFmtId="0" fontId="0" fillId="0" borderId="0" xfId="0" applyAlignment="1"/>
    <xf numFmtId="0" fontId="0" fillId="0" borderId="0" xfId="0" applyFill="1" applyAlignment="1"/>
    <xf numFmtId="0" fontId="5" fillId="3" borderId="0" xfId="1" applyAlignment="1"/>
    <xf numFmtId="0" fontId="7" fillId="0" borderId="0" xfId="3" applyAlignment="1"/>
  </cellXfs>
  <cellStyles count="4">
    <cellStyle name="Gut" xfId="1" builtinId="26"/>
    <cellStyle name="Link" xfId="3" builtinId="8"/>
    <cellStyle name="Schlecht" xfId="2" builtinId="27"/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de/MyDigiKey/ReviewOrder" TargetMode="External"/><Relationship Id="rId2" Type="http://schemas.openxmlformats.org/officeDocument/2006/relationships/hyperlink" Target="https://www.mouser.de/OrderHistory/OrderDetail.aspx?qs=Sn2QTPuoay%252BUEfD1VQ4ZfDBve988UTibrdU1iKF%2fMWU%3d" TargetMode="External"/><Relationship Id="rId1" Type="http://schemas.openxmlformats.org/officeDocument/2006/relationships/hyperlink" Target="https://www.mouser.de/OrderHistory/OrderDetail.aspx?qs=Sn2QTPuoay%252BUEfD1VQ4ZfNBDnpuXJl6sxzMPctVe%252BTA%3d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verical.com/account/order-detail/WEB-SO2847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tabSelected="1" zoomScale="130" zoomScaleNormal="130" workbookViewId="0">
      <selection activeCell="A2" sqref="A2:A15"/>
    </sheetView>
  </sheetViews>
  <sheetFormatPr baseColWidth="10" defaultRowHeight="14.5" x14ac:dyDescent="0.35"/>
  <cols>
    <col min="1" max="1" width="7.6328125" customWidth="1"/>
    <col min="2" max="2" width="19.7265625" bestFit="1" customWidth="1"/>
    <col min="4" max="4" width="19.36328125" customWidth="1"/>
    <col min="5" max="5" width="23.54296875" customWidth="1"/>
    <col min="6" max="7" width="12.08984375" customWidth="1"/>
    <col min="8" max="9" width="10.90625" customWidth="1"/>
    <col min="10" max="10" width="17.7265625" customWidth="1"/>
    <col min="12" max="12" width="19.54296875" customWidth="1"/>
    <col min="13" max="13" width="63.6328125" customWidth="1"/>
    <col min="14" max="14" width="68.36328125" customWidth="1"/>
  </cols>
  <sheetData>
    <row r="1" spans="1:15" s="7" customFormat="1" ht="29" customHeight="1" x14ac:dyDescent="0.25">
      <c r="A1" s="5" t="s">
        <v>39</v>
      </c>
      <c r="B1" s="6" t="s">
        <v>4</v>
      </c>
      <c r="C1" s="6" t="s">
        <v>5</v>
      </c>
      <c r="D1" s="6" t="s">
        <v>6</v>
      </c>
      <c r="E1" s="6" t="s">
        <v>7</v>
      </c>
      <c r="F1" s="3" t="s">
        <v>40</v>
      </c>
      <c r="G1" s="10" t="s">
        <v>42</v>
      </c>
      <c r="H1" s="6" t="s">
        <v>49</v>
      </c>
      <c r="I1" s="6" t="s">
        <v>75</v>
      </c>
      <c r="J1" s="6" t="s">
        <v>54</v>
      </c>
      <c r="K1" s="4" t="s">
        <v>55</v>
      </c>
      <c r="L1" s="7" t="s">
        <v>56</v>
      </c>
    </row>
    <row r="2" spans="1:15" s="16" customFormat="1" x14ac:dyDescent="0.35">
      <c r="A2" s="17">
        <v>1</v>
      </c>
      <c r="B2" s="16" t="s">
        <v>67</v>
      </c>
      <c r="C2" s="16" t="s">
        <v>68</v>
      </c>
      <c r="D2" s="16" t="s">
        <v>3</v>
      </c>
      <c r="E2" s="16" t="s">
        <v>15</v>
      </c>
      <c r="F2" s="16">
        <f t="shared" ref="F2:F15" si="0">A2*$G$18</f>
        <v>20</v>
      </c>
      <c r="G2" s="16">
        <v>9</v>
      </c>
      <c r="H2" s="17">
        <v>125</v>
      </c>
      <c r="I2" s="15">
        <v>25</v>
      </c>
      <c r="J2" s="16" t="s">
        <v>73</v>
      </c>
      <c r="K2" s="17">
        <f t="shared" ref="K2:K15" si="1">G2+H2-F2</f>
        <v>114</v>
      </c>
      <c r="L2" s="18" t="s">
        <v>72</v>
      </c>
      <c r="M2" s="19" t="s">
        <v>60</v>
      </c>
      <c r="N2" s="19" t="s">
        <v>59</v>
      </c>
      <c r="O2" s="16" t="s">
        <v>74</v>
      </c>
    </row>
    <row r="3" spans="1:15" s="8" customFormat="1" ht="29" x14ac:dyDescent="0.35">
      <c r="A3" s="9">
        <v>1</v>
      </c>
      <c r="B3" s="8" t="s">
        <v>10</v>
      </c>
      <c r="C3" s="8" t="s">
        <v>11</v>
      </c>
      <c r="D3" s="8" t="s">
        <v>3</v>
      </c>
      <c r="E3" s="8" t="s">
        <v>12</v>
      </c>
      <c r="F3" s="8">
        <f t="shared" si="0"/>
        <v>20</v>
      </c>
      <c r="G3" s="8">
        <v>8</v>
      </c>
      <c r="H3" s="9">
        <v>50</v>
      </c>
      <c r="I3" s="14">
        <v>50</v>
      </c>
      <c r="J3" s="8" t="s">
        <v>51</v>
      </c>
      <c r="K3" s="9">
        <f t="shared" si="1"/>
        <v>38</v>
      </c>
      <c r="L3" s="11" t="s">
        <v>63</v>
      </c>
      <c r="M3" s="13" t="s">
        <v>58</v>
      </c>
    </row>
    <row r="4" spans="1:15" s="8" customFormat="1" x14ac:dyDescent="0.35">
      <c r="A4" s="9">
        <v>1</v>
      </c>
      <c r="B4" s="8" t="s">
        <v>13</v>
      </c>
      <c r="C4" s="8" t="s">
        <v>14</v>
      </c>
      <c r="D4" s="8" t="s">
        <v>2</v>
      </c>
      <c r="E4" s="8" t="s">
        <v>43</v>
      </c>
      <c r="F4" s="8">
        <f t="shared" si="0"/>
        <v>20</v>
      </c>
      <c r="G4" s="8">
        <v>0</v>
      </c>
      <c r="H4" s="9">
        <v>25</v>
      </c>
      <c r="I4" s="14">
        <v>25</v>
      </c>
      <c r="J4" s="8" t="s">
        <v>51</v>
      </c>
      <c r="K4" s="9">
        <f t="shared" si="1"/>
        <v>5</v>
      </c>
      <c r="L4" s="11" t="s">
        <v>63</v>
      </c>
    </row>
    <row r="5" spans="1:15" s="8" customFormat="1" x14ac:dyDescent="0.35">
      <c r="A5" s="9">
        <v>1</v>
      </c>
      <c r="B5" s="8" t="s">
        <v>0</v>
      </c>
      <c r="C5" s="8" t="s">
        <v>32</v>
      </c>
      <c r="D5" s="8" t="s">
        <v>3</v>
      </c>
      <c r="E5" s="8" t="s">
        <v>33</v>
      </c>
      <c r="F5" s="8">
        <f t="shared" si="0"/>
        <v>20</v>
      </c>
      <c r="G5" s="8">
        <v>0</v>
      </c>
      <c r="H5" s="9">
        <v>25</v>
      </c>
      <c r="I5" s="14">
        <v>25</v>
      </c>
      <c r="J5" s="8" t="s">
        <v>51</v>
      </c>
      <c r="K5" s="9">
        <f t="shared" si="1"/>
        <v>5</v>
      </c>
      <c r="L5" s="11" t="s">
        <v>63</v>
      </c>
    </row>
    <row r="6" spans="1:15" s="8" customFormat="1" ht="31" customHeight="1" x14ac:dyDescent="0.35">
      <c r="A6" s="9">
        <v>8</v>
      </c>
      <c r="B6" s="8" t="s">
        <v>44</v>
      </c>
      <c r="C6" s="8" t="s">
        <v>37</v>
      </c>
      <c r="D6" s="8" t="s">
        <v>3</v>
      </c>
      <c r="E6" s="8" t="s">
        <v>38</v>
      </c>
      <c r="F6" s="8">
        <f t="shared" si="0"/>
        <v>160</v>
      </c>
      <c r="G6" s="8">
        <v>40</v>
      </c>
      <c r="H6" s="9">
        <v>130</v>
      </c>
      <c r="I6" s="14">
        <v>170</v>
      </c>
      <c r="J6" s="8" t="s">
        <v>51</v>
      </c>
      <c r="K6" s="9">
        <f t="shared" si="1"/>
        <v>10</v>
      </c>
      <c r="L6" s="11" t="s">
        <v>63</v>
      </c>
    </row>
    <row r="7" spans="1:15" s="8" customFormat="1" ht="13.5" customHeight="1" x14ac:dyDescent="0.35">
      <c r="A7" s="9">
        <v>8</v>
      </c>
      <c r="B7" s="8" t="s">
        <v>19</v>
      </c>
      <c r="C7" s="8" t="s">
        <v>20</v>
      </c>
      <c r="D7" s="8" t="s">
        <v>21</v>
      </c>
      <c r="E7" s="8" t="s">
        <v>22</v>
      </c>
      <c r="F7" s="8">
        <f t="shared" si="0"/>
        <v>160</v>
      </c>
      <c r="G7" s="8">
        <v>13</v>
      </c>
      <c r="H7" s="9">
        <v>170</v>
      </c>
      <c r="I7" s="14">
        <v>170</v>
      </c>
      <c r="J7" s="8" t="s">
        <v>52</v>
      </c>
      <c r="K7" s="9">
        <f t="shared" si="1"/>
        <v>23</v>
      </c>
      <c r="L7" s="11" t="s">
        <v>63</v>
      </c>
    </row>
    <row r="8" spans="1:15" s="8" customFormat="1" x14ac:dyDescent="0.35">
      <c r="A8" s="9">
        <v>1</v>
      </c>
      <c r="B8" t="s">
        <v>45</v>
      </c>
      <c r="C8" s="8" t="s">
        <v>47</v>
      </c>
      <c r="D8" s="8" t="s">
        <v>46</v>
      </c>
      <c r="E8"/>
      <c r="F8" s="1">
        <f t="shared" si="0"/>
        <v>20</v>
      </c>
      <c r="G8" s="1">
        <v>0</v>
      </c>
      <c r="H8">
        <v>25</v>
      </c>
      <c r="I8" s="14">
        <v>25</v>
      </c>
      <c r="J8" s="8" t="s">
        <v>46</v>
      </c>
      <c r="K8" s="9">
        <f t="shared" si="1"/>
        <v>5</v>
      </c>
      <c r="L8" s="11" t="s">
        <v>63</v>
      </c>
    </row>
    <row r="9" spans="1:15" s="8" customFormat="1" ht="13.5" customHeight="1" x14ac:dyDescent="0.35">
      <c r="A9" s="9">
        <v>8</v>
      </c>
      <c r="B9" s="8" t="s">
        <v>16</v>
      </c>
      <c r="C9" s="8" t="s">
        <v>17</v>
      </c>
      <c r="D9" s="8" t="s">
        <v>2</v>
      </c>
      <c r="E9" s="8" t="s">
        <v>18</v>
      </c>
      <c r="F9" s="8">
        <f t="shared" si="0"/>
        <v>160</v>
      </c>
      <c r="G9" s="8">
        <v>80</v>
      </c>
      <c r="H9" s="9">
        <v>111</v>
      </c>
      <c r="I9" s="14">
        <v>191</v>
      </c>
      <c r="J9" s="12" t="s">
        <v>53</v>
      </c>
      <c r="K9" s="9">
        <f t="shared" si="1"/>
        <v>31</v>
      </c>
      <c r="L9" s="11" t="s">
        <v>64</v>
      </c>
      <c r="M9" s="13" t="s">
        <v>57</v>
      </c>
      <c r="N9" s="13" t="s">
        <v>66</v>
      </c>
    </row>
    <row r="10" spans="1:15" s="8" customFormat="1" ht="13.5" customHeight="1" x14ac:dyDescent="0.35">
      <c r="A10" s="9">
        <v>2</v>
      </c>
      <c r="B10" s="8" t="s">
        <v>1</v>
      </c>
      <c r="C10" s="8" t="s">
        <v>8</v>
      </c>
      <c r="D10" s="8" t="s">
        <v>3</v>
      </c>
      <c r="E10" s="8" t="s">
        <v>9</v>
      </c>
      <c r="F10" s="8">
        <f t="shared" si="0"/>
        <v>40</v>
      </c>
      <c r="G10" s="8">
        <v>48</v>
      </c>
      <c r="H10" s="9">
        <v>44</v>
      </c>
      <c r="I10" s="14">
        <v>44</v>
      </c>
      <c r="J10" s="8" t="s">
        <v>50</v>
      </c>
      <c r="K10" s="9">
        <f t="shared" si="1"/>
        <v>52</v>
      </c>
      <c r="L10" s="11" t="s">
        <v>65</v>
      </c>
    </row>
    <row r="11" spans="1:15" s="8" customFormat="1" ht="43.5" x14ac:dyDescent="0.35">
      <c r="A11" s="9">
        <v>1</v>
      </c>
      <c r="B11" s="8" t="s">
        <v>26</v>
      </c>
      <c r="C11" s="8" t="s">
        <v>27</v>
      </c>
      <c r="D11" s="8" t="s">
        <v>3</v>
      </c>
      <c r="E11" s="8" t="s">
        <v>28</v>
      </c>
      <c r="F11" s="8">
        <f t="shared" si="0"/>
        <v>20</v>
      </c>
      <c r="G11" s="8">
        <v>10</v>
      </c>
      <c r="H11" s="9">
        <v>22</v>
      </c>
      <c r="I11" s="14">
        <v>22</v>
      </c>
      <c r="J11" s="8" t="s">
        <v>50</v>
      </c>
      <c r="K11" s="9">
        <f t="shared" si="1"/>
        <v>12</v>
      </c>
      <c r="L11" s="11" t="s">
        <v>65</v>
      </c>
    </row>
    <row r="12" spans="1:15" s="8" customFormat="1" ht="101.5" x14ac:dyDescent="0.35">
      <c r="A12" s="9">
        <v>1</v>
      </c>
      <c r="B12" s="8" t="s">
        <v>23</v>
      </c>
      <c r="C12" s="8" t="s">
        <v>24</v>
      </c>
      <c r="D12" s="8" t="s">
        <v>3</v>
      </c>
      <c r="E12" s="8" t="s">
        <v>25</v>
      </c>
      <c r="F12" s="8">
        <f t="shared" si="0"/>
        <v>20</v>
      </c>
      <c r="G12" s="8">
        <v>32</v>
      </c>
      <c r="H12" s="9"/>
      <c r="I12" s="14">
        <v>32</v>
      </c>
      <c r="K12" s="9">
        <f t="shared" si="1"/>
        <v>12</v>
      </c>
    </row>
    <row r="13" spans="1:15" s="8" customFormat="1" ht="58" customHeight="1" x14ac:dyDescent="0.35">
      <c r="A13" s="9">
        <v>1</v>
      </c>
      <c r="B13" s="8" t="s">
        <v>29</v>
      </c>
      <c r="C13" s="8" t="s">
        <v>30</v>
      </c>
      <c r="D13" s="8" t="s">
        <v>3</v>
      </c>
      <c r="E13" s="8" t="s">
        <v>31</v>
      </c>
      <c r="F13" s="8">
        <f t="shared" si="0"/>
        <v>20</v>
      </c>
      <c r="G13" s="8">
        <v>32</v>
      </c>
      <c r="H13" s="9"/>
      <c r="I13" s="14">
        <v>22</v>
      </c>
      <c r="K13" s="9">
        <f t="shared" si="1"/>
        <v>12</v>
      </c>
    </row>
    <row r="14" spans="1:15" ht="29" x14ac:dyDescent="0.35">
      <c r="A14" s="9">
        <v>1</v>
      </c>
      <c r="B14" s="8" t="s">
        <v>34</v>
      </c>
      <c r="C14" s="8" t="s">
        <v>35</v>
      </c>
      <c r="D14" s="8" t="s">
        <v>3</v>
      </c>
      <c r="E14" s="8" t="s">
        <v>36</v>
      </c>
      <c r="F14" s="8">
        <f t="shared" si="0"/>
        <v>20</v>
      </c>
      <c r="G14" s="8">
        <v>32</v>
      </c>
      <c r="H14" s="9"/>
      <c r="I14" s="14">
        <v>22</v>
      </c>
      <c r="J14" s="8"/>
      <c r="K14" s="9">
        <f t="shared" si="1"/>
        <v>12</v>
      </c>
      <c r="L14" s="8"/>
    </row>
    <row r="15" spans="1:15" ht="43.5" x14ac:dyDescent="0.35">
      <c r="A15" s="9">
        <v>16</v>
      </c>
      <c r="B15" t="s">
        <v>69</v>
      </c>
      <c r="C15" s="8" t="s">
        <v>48</v>
      </c>
      <c r="D15" s="8" t="s">
        <v>70</v>
      </c>
      <c r="E15" s="8" t="s">
        <v>71</v>
      </c>
      <c r="F15" s="8">
        <f t="shared" si="0"/>
        <v>320</v>
      </c>
      <c r="G15" s="8">
        <v>0</v>
      </c>
      <c r="H15">
        <v>500</v>
      </c>
      <c r="I15" s="14">
        <v>500</v>
      </c>
      <c r="J15" t="s">
        <v>61</v>
      </c>
      <c r="K15" s="9">
        <f t="shared" si="1"/>
        <v>180</v>
      </c>
      <c r="L15" s="11" t="s">
        <v>63</v>
      </c>
      <c r="M15" t="s">
        <v>62</v>
      </c>
    </row>
    <row r="16" spans="1:15" x14ac:dyDescent="0.35">
      <c r="F16" s="2"/>
      <c r="G16" s="2"/>
    </row>
    <row r="18" spans="6:7" x14ac:dyDescent="0.35">
      <c r="F18" t="s">
        <v>41</v>
      </c>
      <c r="G18">
        <v>20</v>
      </c>
    </row>
  </sheetData>
  <sortState xmlns:xlrd2="http://schemas.microsoft.com/office/spreadsheetml/2017/richdata2" ref="A2:L15">
    <sortCondition ref="J1"/>
  </sortState>
  <conditionalFormatting sqref="K2:K15">
    <cfRule type="cellIs" dxfId="1" priority="1" operator="greaterThan">
      <formula>0</formula>
    </cfRule>
    <cfRule type="cellIs" dxfId="0" priority="2" operator="lessThan">
      <formula>0</formula>
    </cfRule>
  </conditionalFormatting>
  <hyperlinks>
    <hyperlink ref="M2" r:id="rId1" xr:uid="{00000000-0004-0000-0000-000000000000}"/>
    <hyperlink ref="M3" r:id="rId2" xr:uid="{00000000-0004-0000-0000-000001000000}"/>
    <hyperlink ref="N2" r:id="rId3" xr:uid="{00000000-0004-0000-0000-000002000000}"/>
    <hyperlink ref="M9" r:id="rId4" xr:uid="{00000000-0004-0000-0000-000003000000}"/>
  </hyperlinks>
  <pageMargins left="0.7" right="0.7" top="0.78740157499999996" bottom="0.78740157499999996" header="0.3" footer="0.3"/>
  <pageSetup paperSize="9" scale="96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Michael Hoerner</cp:lastModifiedBy>
  <cp:lastPrinted>2021-09-07T12:15:15Z</cp:lastPrinted>
  <dcterms:created xsi:type="dcterms:W3CDTF">2021-08-06T07:55:53Z</dcterms:created>
  <dcterms:modified xsi:type="dcterms:W3CDTF">2022-02-22T08:58:52Z</dcterms:modified>
</cp:coreProperties>
</file>