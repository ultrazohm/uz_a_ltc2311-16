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\Desktop\Bachelorarbeit\"/>
    </mc:Choice>
  </mc:AlternateContent>
  <xr:revisionPtr revIDLastSave="0" documentId="13_ncr:1_{E7A8A47F-4980-4E5A-A07E-0D65DAF21F24}" xr6:coauthVersionLast="45" xr6:coauthVersionMax="45" xr10:uidLastSave="{00000000-0000-0000-0000-000000000000}"/>
  <bookViews>
    <workbookView xWindow="-108" yWindow="-108" windowWidth="23256" windowHeight="13176" xr2:uid="{495E718F-06B1-4643-B7E0-98C6B6E2ABE9}"/>
  </bookViews>
  <sheets>
    <sheet name="1kOhm 1%" sheetId="1" r:id="rId1"/>
    <sheet name="3kOhm 0.1%" sheetId="2" r:id="rId2"/>
    <sheet name="10kOhm 0.1%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9" i="2" l="1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8" i="2"/>
  <c r="D42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8" i="2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8" i="1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8" i="3"/>
</calcChain>
</file>

<file path=xl/sharedStrings.xml><?xml version="1.0" encoding="utf-8"?>
<sst xmlns="http://schemas.openxmlformats.org/spreadsheetml/2006/main" count="40" uniqueCount="12">
  <si>
    <t>In_P</t>
  </si>
  <si>
    <t>In_N</t>
  </si>
  <si>
    <t>Vout P to N</t>
  </si>
  <si>
    <t>GND</t>
  </si>
  <si>
    <r>
      <t xml:space="preserve">Single Ended vs GND with </t>
    </r>
    <r>
      <rPr>
        <b/>
        <sz val="11"/>
        <color theme="1"/>
        <rFont val="Calibri"/>
        <family val="2"/>
        <scheme val="minor"/>
      </rPr>
      <t>3kOhm, 0.1%</t>
    </r>
    <r>
      <rPr>
        <sz val="11"/>
        <color theme="1"/>
        <rFont val="Calibri"/>
        <family val="2"/>
        <scheme val="minor"/>
      </rPr>
      <t xml:space="preserve"> feedback resistors</t>
    </r>
  </si>
  <si>
    <r>
      <t xml:space="preserve">Single Ended vs GND with </t>
    </r>
    <r>
      <rPr>
        <b/>
        <sz val="11"/>
        <color theme="1"/>
        <rFont val="Calibri"/>
        <family val="2"/>
        <scheme val="minor"/>
      </rPr>
      <t>1kOhm, 1%</t>
    </r>
    <r>
      <rPr>
        <sz val="11"/>
        <color theme="1"/>
        <rFont val="Calibri"/>
        <family val="2"/>
        <scheme val="minor"/>
      </rPr>
      <t xml:space="preserve"> feedback resistors</t>
    </r>
  </si>
  <si>
    <t>abs deviation</t>
  </si>
  <si>
    <t>rel deviation</t>
  </si>
  <si>
    <r>
      <t xml:space="preserve">Single Ended vs GND with </t>
    </r>
    <r>
      <rPr>
        <b/>
        <sz val="11"/>
        <color theme="1"/>
        <rFont val="Calibri"/>
        <family val="2"/>
        <scheme val="minor"/>
      </rPr>
      <t>10kOhm, 0.1%</t>
    </r>
    <r>
      <rPr>
        <sz val="11"/>
        <color theme="1"/>
        <rFont val="Calibri"/>
        <family val="2"/>
        <scheme val="minor"/>
      </rPr>
      <t xml:space="preserve"> feedback resistors</t>
    </r>
  </si>
  <si>
    <t>Input: 100pF to GND, ±5.0V by power supply unit</t>
  </si>
  <si>
    <r>
      <t xml:space="preserve">Input: 100pF to GND, </t>
    </r>
    <r>
      <rPr>
        <sz val="11"/>
        <color rgb="FFFF0000"/>
        <rFont val="Symbol"/>
        <family val="1"/>
        <charset val="2"/>
      </rPr>
      <t>±</t>
    </r>
    <r>
      <rPr>
        <sz val="11"/>
        <color rgb="FFFF0000"/>
        <rFont val="Calibri"/>
        <family val="2"/>
      </rPr>
      <t>5.2V</t>
    </r>
    <r>
      <rPr>
        <sz val="11"/>
        <color theme="1"/>
        <rFont val="Calibri"/>
        <family val="2"/>
      </rPr>
      <t xml:space="preserve"> by power supply unit</t>
    </r>
  </si>
  <si>
    <r>
      <t xml:space="preserve">Input: 100pF to GND, 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Calibri"/>
        <family val="2"/>
      </rPr>
      <t>5.0V by power supply unit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</si>
</sst>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\ &quot;mV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sz val="11"/>
      <color rgb="FFFF0000"/>
      <name val="Symbol"/>
      <family val="1"/>
      <charset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1" xfId="0" applyBorder="1"/>
    <xf numFmtId="2" fontId="0" fillId="0" borderId="2" xfId="0" applyNumberFormat="1" applyFill="1" applyBorder="1"/>
    <xf numFmtId="164" fontId="0" fillId="0" borderId="2" xfId="0" applyNumberFormat="1" applyFill="1" applyBorder="1"/>
    <xf numFmtId="0" fontId="0" fillId="0" borderId="2" xfId="0" applyFill="1" applyBorder="1"/>
    <xf numFmtId="0" fontId="0" fillId="2" borderId="0" xfId="0" applyFill="1" applyBorder="1"/>
    <xf numFmtId="0" fontId="0" fillId="0" borderId="2" xfId="0" applyBorder="1"/>
    <xf numFmtId="165" fontId="0" fillId="0" borderId="2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0F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Single-ended to Ground total range -5V to +5V</a:t>
            </a:r>
            <a:endParaRPr lang="de-DE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'1kOhm 1%'!$B$7</c:f>
              <c:strCache>
                <c:ptCount val="1"/>
                <c:pt idx="0">
                  <c:v>Vout P to 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'1kOhm 1%'!$A$8:$A$42</c:f>
              <c:numCache>
                <c:formatCode>0.00</c:formatCode>
                <c:ptCount val="35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0.75</c:v>
                </c:pt>
                <c:pt idx="11">
                  <c:v>0.5</c:v>
                </c:pt>
                <c:pt idx="12">
                  <c:v>0.25</c:v>
                </c:pt>
                <c:pt idx="13">
                  <c:v>0.1</c:v>
                </c:pt>
                <c:pt idx="14">
                  <c:v>0.05</c:v>
                </c:pt>
                <c:pt idx="15">
                  <c:v>0.02</c:v>
                </c:pt>
                <c:pt idx="16">
                  <c:v>0.01</c:v>
                </c:pt>
                <c:pt idx="17">
                  <c:v>0</c:v>
                </c:pt>
                <c:pt idx="18">
                  <c:v>-0.01</c:v>
                </c:pt>
                <c:pt idx="19">
                  <c:v>-0.02</c:v>
                </c:pt>
                <c:pt idx="20">
                  <c:v>-0.05</c:v>
                </c:pt>
                <c:pt idx="21">
                  <c:v>-0.1</c:v>
                </c:pt>
                <c:pt idx="22">
                  <c:v>-0.25</c:v>
                </c:pt>
                <c:pt idx="23">
                  <c:v>-0.5</c:v>
                </c:pt>
                <c:pt idx="24">
                  <c:v>-0.75</c:v>
                </c:pt>
                <c:pt idx="25">
                  <c:v>-1</c:v>
                </c:pt>
                <c:pt idx="26">
                  <c:v>-2</c:v>
                </c:pt>
                <c:pt idx="27">
                  <c:v>-3</c:v>
                </c:pt>
                <c:pt idx="28">
                  <c:v>-4</c:v>
                </c:pt>
                <c:pt idx="29">
                  <c:v>-4.4000000000000004</c:v>
                </c:pt>
                <c:pt idx="30">
                  <c:v>-4.5</c:v>
                </c:pt>
                <c:pt idx="31">
                  <c:v>-4.5999999999999996</c:v>
                </c:pt>
                <c:pt idx="32">
                  <c:v>-4.75</c:v>
                </c:pt>
                <c:pt idx="33">
                  <c:v>-4.9000000000000004</c:v>
                </c:pt>
                <c:pt idx="34">
                  <c:v>-5</c:v>
                </c:pt>
              </c:numCache>
            </c:numRef>
          </c:xVal>
          <c:yVal>
            <c:numRef>
              <c:f>'1kOhm 1%'!$B$8:$B$42</c:f>
              <c:numCache>
                <c:formatCode>0.000</c:formatCode>
                <c:ptCount val="35"/>
                <c:pt idx="0">
                  <c:v>4.8845000000000001</c:v>
                </c:pt>
                <c:pt idx="1">
                  <c:v>4.8827299999999996</c:v>
                </c:pt>
                <c:pt idx="2">
                  <c:v>4.7520300000000004</c:v>
                </c:pt>
                <c:pt idx="3">
                  <c:v>4.6016599999999999</c:v>
                </c:pt>
                <c:pt idx="4">
                  <c:v>4.5014000000000003</c:v>
                </c:pt>
                <c:pt idx="5">
                  <c:v>4.4011399999999998</c:v>
                </c:pt>
                <c:pt idx="6">
                  <c:v>4.0002199999999997</c:v>
                </c:pt>
                <c:pt idx="7">
                  <c:v>2.9979</c:v>
                </c:pt>
                <c:pt idx="8">
                  <c:v>1.9961</c:v>
                </c:pt>
                <c:pt idx="9">
                  <c:v>0.99467000000000005</c:v>
                </c:pt>
                <c:pt idx="10">
                  <c:v>0.74448999999999999</c:v>
                </c:pt>
                <c:pt idx="11">
                  <c:v>0.49396000000000001</c:v>
                </c:pt>
                <c:pt idx="12">
                  <c:v>0.24379999999999999</c:v>
                </c:pt>
                <c:pt idx="13">
                  <c:v>9.3490000000000004E-2</c:v>
                </c:pt>
                <c:pt idx="14">
                  <c:v>4.3380000000000002E-2</c:v>
                </c:pt>
                <c:pt idx="15">
                  <c:v>1.3469999999999999E-2</c:v>
                </c:pt>
                <c:pt idx="16">
                  <c:v>3.3800000000000002E-3</c:v>
                </c:pt>
                <c:pt idx="17">
                  <c:v>-6.3299999999999997E-3</c:v>
                </c:pt>
                <c:pt idx="18">
                  <c:v>-1.6920000000000001E-2</c:v>
                </c:pt>
                <c:pt idx="19">
                  <c:v>-2.6980000000000001E-2</c:v>
                </c:pt>
                <c:pt idx="20">
                  <c:v>-5.6860000000000001E-2</c:v>
                </c:pt>
                <c:pt idx="21">
                  <c:v>-0.10684</c:v>
                </c:pt>
                <c:pt idx="22">
                  <c:v>-0.25672</c:v>
                </c:pt>
                <c:pt idx="23">
                  <c:v>-0.50621000000000005</c:v>
                </c:pt>
                <c:pt idx="24">
                  <c:v>-0.75607999999999997</c:v>
                </c:pt>
                <c:pt idx="25">
                  <c:v>-1.0059</c:v>
                </c:pt>
                <c:pt idx="26">
                  <c:v>-2.0043000000000002</c:v>
                </c:pt>
                <c:pt idx="27">
                  <c:v>-3.0034999999999998</c:v>
                </c:pt>
                <c:pt idx="28">
                  <c:v>-4.0028199999999998</c:v>
                </c:pt>
                <c:pt idx="29">
                  <c:v>-4.4026800000000001</c:v>
                </c:pt>
                <c:pt idx="30">
                  <c:v>-4.5026700000000002</c:v>
                </c:pt>
                <c:pt idx="31">
                  <c:v>-4.6026400000000001</c:v>
                </c:pt>
                <c:pt idx="32">
                  <c:v>-4.7526200000000003</c:v>
                </c:pt>
                <c:pt idx="33">
                  <c:v>-4.8806500000000002</c:v>
                </c:pt>
                <c:pt idx="34">
                  <c:v>-4.8840700000000004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1C-438E-AE57-432C25CED9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26000008"/>
        <c:axId val="226000992"/>
      </c:scatterChart>
      <c:valAx>
        <c:axId val="226000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6000992"/>
        <c:crosses val="autoZero"/>
        <c:crossBetween val="midCat"/>
      </c:valAx>
      <c:valAx>
        <c:axId val="22600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6000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absolute deviation</a:t>
            </a:r>
            <a:r>
              <a:rPr lang="de-DE" baseline="0"/>
              <a:t> OUT-IN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'1kOhm 1%'!$A$8:$A$42</c:f>
              <c:numCache>
                <c:formatCode>0.00</c:formatCode>
                <c:ptCount val="35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0.75</c:v>
                </c:pt>
                <c:pt idx="11">
                  <c:v>0.5</c:v>
                </c:pt>
                <c:pt idx="12">
                  <c:v>0.25</c:v>
                </c:pt>
                <c:pt idx="13">
                  <c:v>0.1</c:v>
                </c:pt>
                <c:pt idx="14">
                  <c:v>0.05</c:v>
                </c:pt>
                <c:pt idx="15">
                  <c:v>0.02</c:v>
                </c:pt>
                <c:pt idx="16">
                  <c:v>0.01</c:v>
                </c:pt>
                <c:pt idx="17">
                  <c:v>0</c:v>
                </c:pt>
                <c:pt idx="18">
                  <c:v>-0.01</c:v>
                </c:pt>
                <c:pt idx="19">
                  <c:v>-0.02</c:v>
                </c:pt>
                <c:pt idx="20">
                  <c:v>-0.05</c:v>
                </c:pt>
                <c:pt idx="21">
                  <c:v>-0.1</c:v>
                </c:pt>
                <c:pt idx="22">
                  <c:v>-0.25</c:v>
                </c:pt>
                <c:pt idx="23">
                  <c:v>-0.5</c:v>
                </c:pt>
                <c:pt idx="24">
                  <c:v>-0.75</c:v>
                </c:pt>
                <c:pt idx="25">
                  <c:v>-1</c:v>
                </c:pt>
                <c:pt idx="26">
                  <c:v>-2</c:v>
                </c:pt>
                <c:pt idx="27">
                  <c:v>-3</c:v>
                </c:pt>
                <c:pt idx="28">
                  <c:v>-4</c:v>
                </c:pt>
                <c:pt idx="29">
                  <c:v>-4.4000000000000004</c:v>
                </c:pt>
                <c:pt idx="30">
                  <c:v>-4.5</c:v>
                </c:pt>
                <c:pt idx="31">
                  <c:v>-4.5999999999999996</c:v>
                </c:pt>
                <c:pt idx="32">
                  <c:v>-4.75</c:v>
                </c:pt>
                <c:pt idx="33">
                  <c:v>-4.9000000000000004</c:v>
                </c:pt>
                <c:pt idx="34">
                  <c:v>-5</c:v>
                </c:pt>
              </c:numCache>
            </c:numRef>
          </c:cat>
          <c:val>
            <c:numRef>
              <c:f>'1kOhm 1%'!$D$8:$D$42</c:f>
              <c:numCache>
                <c:formatCode>0.00\ "mV"</c:formatCode>
                <c:ptCount val="35"/>
                <c:pt idx="0">
                  <c:v>-115.49999999999994</c:v>
                </c:pt>
                <c:pt idx="1">
                  <c:v>-17.270000000000785</c:v>
                </c:pt>
                <c:pt idx="2">
                  <c:v>2.0300000000004204</c:v>
                </c:pt>
                <c:pt idx="3">
                  <c:v>1.6600000000002169</c:v>
                </c:pt>
                <c:pt idx="4">
                  <c:v>1.4000000000002899</c:v>
                </c:pt>
                <c:pt idx="5">
                  <c:v>1.1399999999994748</c:v>
                </c:pt>
                <c:pt idx="6">
                  <c:v>0.21999999999966491</c:v>
                </c:pt>
                <c:pt idx="7">
                  <c:v>-2.0999999999999908</c:v>
                </c:pt>
                <c:pt idx="8">
                  <c:v>-3.9000000000000146</c:v>
                </c:pt>
                <c:pt idx="9">
                  <c:v>-5.3299999999999459</c:v>
                </c:pt>
                <c:pt idx="10">
                  <c:v>-5.5100000000000149</c:v>
                </c:pt>
                <c:pt idx="11">
                  <c:v>-6.0399999999999903</c:v>
                </c:pt>
                <c:pt idx="12">
                  <c:v>-6.2000000000000108</c:v>
                </c:pt>
                <c:pt idx="13">
                  <c:v>-6.5100000000000016</c:v>
                </c:pt>
                <c:pt idx="14">
                  <c:v>-6.620000000000001</c:v>
                </c:pt>
                <c:pt idx="15">
                  <c:v>-6.5300000000000011</c:v>
                </c:pt>
                <c:pt idx="16">
                  <c:v>-6.62</c:v>
                </c:pt>
                <c:pt idx="17">
                  <c:v>-6.33</c:v>
                </c:pt>
                <c:pt idx="18">
                  <c:v>-6.9200000000000008</c:v>
                </c:pt>
                <c:pt idx="19">
                  <c:v>-6.98</c:v>
                </c:pt>
                <c:pt idx="20">
                  <c:v>-6.8599999999999977</c:v>
                </c:pt>
                <c:pt idx="21">
                  <c:v>-6.839999999999999</c:v>
                </c:pt>
                <c:pt idx="22">
                  <c:v>-6.7200000000000042</c:v>
                </c:pt>
                <c:pt idx="23">
                  <c:v>-6.2100000000000488</c:v>
                </c:pt>
                <c:pt idx="24">
                  <c:v>-6.0799999999999743</c:v>
                </c:pt>
                <c:pt idx="25">
                  <c:v>-5.9000000000000163</c:v>
                </c:pt>
                <c:pt idx="26">
                  <c:v>-4.3000000000001926</c:v>
                </c:pt>
                <c:pt idx="27">
                  <c:v>-3.4999999999998366</c:v>
                </c:pt>
                <c:pt idx="28">
                  <c:v>-2.8199999999998226</c:v>
                </c:pt>
                <c:pt idx="29">
                  <c:v>-2.6799999999997937</c:v>
                </c:pt>
                <c:pt idx="30">
                  <c:v>-2.6700000000001722</c:v>
                </c:pt>
                <c:pt idx="31">
                  <c:v>-2.6400000000004198</c:v>
                </c:pt>
                <c:pt idx="32">
                  <c:v>-2.6200000000002888</c:v>
                </c:pt>
                <c:pt idx="33">
                  <c:v>19.3500000000002</c:v>
                </c:pt>
                <c:pt idx="34">
                  <c:v>115.92999999999964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BA-41C2-9269-36546FE5F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527048"/>
        <c:axId val="227521144"/>
      </c:barChart>
      <c:catAx>
        <c:axId val="22752704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7521144"/>
        <c:crosses val="autoZero"/>
        <c:auto val="1"/>
        <c:lblAlgn val="ctr"/>
        <c:lblOffset val="100"/>
        <c:noMultiLvlLbl val="0"/>
      </c:catAx>
      <c:valAx>
        <c:axId val="227521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V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7527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Single-ended to Ground total range -5V to +5V</a:t>
            </a:r>
            <a:endParaRPr lang="de-DE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'3kOhm 0.1%'!$R$8:$R$42</c:f>
              <c:numCache>
                <c:formatCode>0.00</c:formatCode>
                <c:ptCount val="35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0.75</c:v>
                </c:pt>
                <c:pt idx="11">
                  <c:v>0.5</c:v>
                </c:pt>
                <c:pt idx="12">
                  <c:v>0.25</c:v>
                </c:pt>
                <c:pt idx="13">
                  <c:v>0.1</c:v>
                </c:pt>
                <c:pt idx="14">
                  <c:v>0.05</c:v>
                </c:pt>
                <c:pt idx="15">
                  <c:v>0.02</c:v>
                </c:pt>
                <c:pt idx="16">
                  <c:v>0.01</c:v>
                </c:pt>
                <c:pt idx="17">
                  <c:v>0</c:v>
                </c:pt>
                <c:pt idx="18">
                  <c:v>-0.01</c:v>
                </c:pt>
                <c:pt idx="19">
                  <c:v>-0.02</c:v>
                </c:pt>
                <c:pt idx="20">
                  <c:v>-0.05</c:v>
                </c:pt>
                <c:pt idx="21">
                  <c:v>-0.1</c:v>
                </c:pt>
                <c:pt idx="22">
                  <c:v>-0.25</c:v>
                </c:pt>
                <c:pt idx="23">
                  <c:v>-0.5</c:v>
                </c:pt>
                <c:pt idx="24">
                  <c:v>-0.75</c:v>
                </c:pt>
                <c:pt idx="25">
                  <c:v>-1</c:v>
                </c:pt>
                <c:pt idx="26">
                  <c:v>-2</c:v>
                </c:pt>
                <c:pt idx="27">
                  <c:v>-3</c:v>
                </c:pt>
                <c:pt idx="28">
                  <c:v>-4</c:v>
                </c:pt>
                <c:pt idx="29">
                  <c:v>-4.4000000000000004</c:v>
                </c:pt>
                <c:pt idx="30">
                  <c:v>-4.5</c:v>
                </c:pt>
                <c:pt idx="31">
                  <c:v>-4.5999999999999996</c:v>
                </c:pt>
                <c:pt idx="32">
                  <c:v>-4.75</c:v>
                </c:pt>
                <c:pt idx="33">
                  <c:v>-4.9000000000000004</c:v>
                </c:pt>
                <c:pt idx="34">
                  <c:v>-5</c:v>
                </c:pt>
              </c:numCache>
            </c:numRef>
          </c:xVal>
          <c:yVal>
            <c:numRef>
              <c:f>'3kOhm 0.1%'!$S$8:$S$42</c:f>
              <c:numCache>
                <c:formatCode>0.000</c:formatCode>
                <c:ptCount val="35"/>
                <c:pt idx="0">
                  <c:v>5.0014200000000004</c:v>
                </c:pt>
                <c:pt idx="1">
                  <c:v>4.9013200000000001</c:v>
                </c:pt>
                <c:pt idx="2">
                  <c:v>4.7515299999999998</c:v>
                </c:pt>
                <c:pt idx="3">
                  <c:v>4.6013400000000004</c:v>
                </c:pt>
                <c:pt idx="4">
                  <c:v>4.50122</c:v>
                </c:pt>
                <c:pt idx="5">
                  <c:v>4.4011300000000002</c:v>
                </c:pt>
                <c:pt idx="6">
                  <c:v>4.0000200000000001</c:v>
                </c:pt>
                <c:pt idx="7">
                  <c:v>2.9999699999999998</c:v>
                </c:pt>
                <c:pt idx="8">
                  <c:v>1.99962</c:v>
                </c:pt>
                <c:pt idx="9">
                  <c:v>0.99966999999999995</c:v>
                </c:pt>
                <c:pt idx="10">
                  <c:v>0.74985999999999997</c:v>
                </c:pt>
                <c:pt idx="11">
                  <c:v>0.49969999999999998</c:v>
                </c:pt>
                <c:pt idx="12">
                  <c:v>0.24990999999999999</c:v>
                </c:pt>
                <c:pt idx="13">
                  <c:v>9.9809999999999996E-2</c:v>
                </c:pt>
                <c:pt idx="14">
                  <c:v>4.9779999999999998E-2</c:v>
                </c:pt>
                <c:pt idx="15">
                  <c:v>1.9900000000000001E-2</c:v>
                </c:pt>
                <c:pt idx="16">
                  <c:v>9.8200000000000006E-3</c:v>
                </c:pt>
                <c:pt idx="17">
                  <c:v>1.2E-4</c:v>
                </c:pt>
                <c:pt idx="18">
                  <c:v>-1.04E-2</c:v>
                </c:pt>
                <c:pt idx="19">
                  <c:v>-2.0490000000000001E-2</c:v>
                </c:pt>
                <c:pt idx="20">
                  <c:v>-5.0349999999999999E-2</c:v>
                </c:pt>
                <c:pt idx="21">
                  <c:v>-0.10038</c:v>
                </c:pt>
                <c:pt idx="22">
                  <c:v>-0.25047000000000003</c:v>
                </c:pt>
                <c:pt idx="23">
                  <c:v>-0.50024000000000002</c:v>
                </c:pt>
                <c:pt idx="24">
                  <c:v>-0.75039</c:v>
                </c:pt>
                <c:pt idx="25">
                  <c:v>-1.00017</c:v>
                </c:pt>
                <c:pt idx="26">
                  <c:v>-2.0000499999999999</c:v>
                </c:pt>
                <c:pt idx="27">
                  <c:v>-3.0003099999999998</c:v>
                </c:pt>
                <c:pt idx="28">
                  <c:v>-4.0002599999999999</c:v>
                </c:pt>
                <c:pt idx="29">
                  <c:v>-4.4011199999999997</c:v>
                </c:pt>
                <c:pt idx="30">
                  <c:v>-4.5012100000000004</c:v>
                </c:pt>
                <c:pt idx="31">
                  <c:v>-4.6013200000000003</c:v>
                </c:pt>
                <c:pt idx="32">
                  <c:v>-4.7514599999999998</c:v>
                </c:pt>
                <c:pt idx="33">
                  <c:v>-4.9012399999999996</c:v>
                </c:pt>
                <c:pt idx="34">
                  <c:v>-5.0013300000000003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9D-420D-A734-536FECDAD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730008"/>
        <c:axId val="602730336"/>
      </c:scatterChart>
      <c:valAx>
        <c:axId val="602730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2730336"/>
        <c:crosses val="autoZero"/>
        <c:crossBetween val="midCat"/>
      </c:valAx>
      <c:valAx>
        <c:axId val="60273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2730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Single-ended to Ground total range -5V to +5V</a:t>
            </a:r>
            <a:endParaRPr lang="de-DE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'3kOhm 0.1%'!$A$8:$A$42</c:f>
              <c:numCache>
                <c:formatCode>0.00</c:formatCode>
                <c:ptCount val="35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0.75</c:v>
                </c:pt>
                <c:pt idx="11">
                  <c:v>0.5</c:v>
                </c:pt>
                <c:pt idx="12">
                  <c:v>0.25</c:v>
                </c:pt>
                <c:pt idx="13">
                  <c:v>0.1</c:v>
                </c:pt>
                <c:pt idx="14">
                  <c:v>0.05</c:v>
                </c:pt>
                <c:pt idx="15">
                  <c:v>0.02</c:v>
                </c:pt>
                <c:pt idx="16">
                  <c:v>0.01</c:v>
                </c:pt>
                <c:pt idx="17">
                  <c:v>0</c:v>
                </c:pt>
                <c:pt idx="18">
                  <c:v>-0.01</c:v>
                </c:pt>
                <c:pt idx="19">
                  <c:v>-0.02</c:v>
                </c:pt>
                <c:pt idx="20">
                  <c:v>-0.05</c:v>
                </c:pt>
                <c:pt idx="21">
                  <c:v>-0.1</c:v>
                </c:pt>
                <c:pt idx="22">
                  <c:v>-0.25</c:v>
                </c:pt>
                <c:pt idx="23">
                  <c:v>-0.5</c:v>
                </c:pt>
                <c:pt idx="24">
                  <c:v>-0.75</c:v>
                </c:pt>
                <c:pt idx="25">
                  <c:v>-1</c:v>
                </c:pt>
                <c:pt idx="26">
                  <c:v>-2</c:v>
                </c:pt>
                <c:pt idx="27">
                  <c:v>-3</c:v>
                </c:pt>
                <c:pt idx="28">
                  <c:v>-4</c:v>
                </c:pt>
                <c:pt idx="29">
                  <c:v>-4.4000000000000004</c:v>
                </c:pt>
                <c:pt idx="30">
                  <c:v>-4.5</c:v>
                </c:pt>
                <c:pt idx="31">
                  <c:v>-4.5999999999999996</c:v>
                </c:pt>
                <c:pt idx="32">
                  <c:v>-4.75</c:v>
                </c:pt>
                <c:pt idx="33">
                  <c:v>-4.9000000000000004</c:v>
                </c:pt>
                <c:pt idx="34">
                  <c:v>-5</c:v>
                </c:pt>
              </c:numCache>
            </c:numRef>
          </c:xVal>
          <c:yVal>
            <c:numRef>
              <c:f>'3kOhm 0.1%'!$B$8:$B$42</c:f>
              <c:numCache>
                <c:formatCode>0.000</c:formatCode>
                <c:ptCount val="35"/>
                <c:pt idx="0">
                  <c:v>4.9295499999999999</c:v>
                </c:pt>
                <c:pt idx="1">
                  <c:v>4.9011199999999997</c:v>
                </c:pt>
                <c:pt idx="2">
                  <c:v>4.7514399999999997</c:v>
                </c:pt>
                <c:pt idx="3">
                  <c:v>4.60128</c:v>
                </c:pt>
                <c:pt idx="4">
                  <c:v>4.5011299999999999</c:v>
                </c:pt>
                <c:pt idx="5">
                  <c:v>4.4010600000000002</c:v>
                </c:pt>
                <c:pt idx="6">
                  <c:v>4.0007299999999999</c:v>
                </c:pt>
                <c:pt idx="7">
                  <c:v>2.9999799999999999</c:v>
                </c:pt>
                <c:pt idx="8">
                  <c:v>1.99963</c:v>
                </c:pt>
                <c:pt idx="9">
                  <c:v>0.99968000000000001</c:v>
                </c:pt>
                <c:pt idx="10">
                  <c:v>0.74987999999999999</c:v>
                </c:pt>
                <c:pt idx="11">
                  <c:v>0.49970999999999999</c:v>
                </c:pt>
                <c:pt idx="12">
                  <c:v>0.24992</c:v>
                </c:pt>
                <c:pt idx="13">
                  <c:v>9.9820000000000006E-2</c:v>
                </c:pt>
                <c:pt idx="14">
                  <c:v>4.9779999999999998E-2</c:v>
                </c:pt>
                <c:pt idx="15">
                  <c:v>1.9910000000000001E-2</c:v>
                </c:pt>
                <c:pt idx="16">
                  <c:v>9.8300000000000002E-3</c:v>
                </c:pt>
                <c:pt idx="17">
                  <c:v>1.2E-4</c:v>
                </c:pt>
                <c:pt idx="18">
                  <c:v>-1.0410000000000001E-2</c:v>
                </c:pt>
                <c:pt idx="19">
                  <c:v>-2.0478E-2</c:v>
                </c:pt>
                <c:pt idx="20">
                  <c:v>-5.0349999999999999E-2</c:v>
                </c:pt>
                <c:pt idx="21">
                  <c:v>-0.10038</c:v>
                </c:pt>
                <c:pt idx="22">
                  <c:v>-0.25047000000000003</c:v>
                </c:pt>
                <c:pt idx="23">
                  <c:v>-0.50022999999999995</c:v>
                </c:pt>
                <c:pt idx="24">
                  <c:v>-0.75038000000000005</c:v>
                </c:pt>
                <c:pt idx="25">
                  <c:v>-1.0001599999999999</c:v>
                </c:pt>
                <c:pt idx="26">
                  <c:v>-2.0000399999999998</c:v>
                </c:pt>
                <c:pt idx="27">
                  <c:v>-3.0003099999999998</c:v>
                </c:pt>
                <c:pt idx="28">
                  <c:v>-4.0007799999999998</c:v>
                </c:pt>
                <c:pt idx="29">
                  <c:v>-4.4010400000000001</c:v>
                </c:pt>
                <c:pt idx="30">
                  <c:v>-4.5011400000000004</c:v>
                </c:pt>
                <c:pt idx="31">
                  <c:v>-4.6012399999999998</c:v>
                </c:pt>
                <c:pt idx="32">
                  <c:v>-4.7514200000000004</c:v>
                </c:pt>
                <c:pt idx="33">
                  <c:v>-4.8996199999999996</c:v>
                </c:pt>
                <c:pt idx="34">
                  <c:v>-4.9288999999999996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A1-4AAC-9FC0-CC0FEA89A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709016"/>
        <c:axId val="602703440"/>
      </c:scatterChart>
      <c:valAx>
        <c:axId val="602709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2703440"/>
        <c:crosses val="autoZero"/>
        <c:crossBetween val="midCat"/>
      </c:valAx>
      <c:valAx>
        <c:axId val="60270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2709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baseline="0">
                <a:effectLst/>
              </a:rPr>
              <a:t>absolute deviation OUT-IN</a:t>
            </a:r>
            <a:endParaRPr lang="de-DE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'3kOhm 0.1%'!$R$8:$R$42</c:f>
              <c:numCache>
                <c:formatCode>0.00</c:formatCode>
                <c:ptCount val="35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0.75</c:v>
                </c:pt>
                <c:pt idx="11">
                  <c:v>0.5</c:v>
                </c:pt>
                <c:pt idx="12">
                  <c:v>0.25</c:v>
                </c:pt>
                <c:pt idx="13">
                  <c:v>0.1</c:v>
                </c:pt>
                <c:pt idx="14">
                  <c:v>0.05</c:v>
                </c:pt>
                <c:pt idx="15">
                  <c:v>0.02</c:v>
                </c:pt>
                <c:pt idx="16">
                  <c:v>0.01</c:v>
                </c:pt>
                <c:pt idx="17">
                  <c:v>0</c:v>
                </c:pt>
                <c:pt idx="18">
                  <c:v>-0.01</c:v>
                </c:pt>
                <c:pt idx="19">
                  <c:v>-0.02</c:v>
                </c:pt>
                <c:pt idx="20">
                  <c:v>-0.05</c:v>
                </c:pt>
                <c:pt idx="21">
                  <c:v>-0.1</c:v>
                </c:pt>
                <c:pt idx="22">
                  <c:v>-0.25</c:v>
                </c:pt>
                <c:pt idx="23">
                  <c:v>-0.5</c:v>
                </c:pt>
                <c:pt idx="24">
                  <c:v>-0.75</c:v>
                </c:pt>
                <c:pt idx="25">
                  <c:v>-1</c:v>
                </c:pt>
                <c:pt idx="26">
                  <c:v>-2</c:v>
                </c:pt>
                <c:pt idx="27">
                  <c:v>-3</c:v>
                </c:pt>
                <c:pt idx="28">
                  <c:v>-4</c:v>
                </c:pt>
                <c:pt idx="29">
                  <c:v>-4.4000000000000004</c:v>
                </c:pt>
                <c:pt idx="30">
                  <c:v>-4.5</c:v>
                </c:pt>
                <c:pt idx="31">
                  <c:v>-4.5999999999999996</c:v>
                </c:pt>
                <c:pt idx="32">
                  <c:v>-4.75</c:v>
                </c:pt>
                <c:pt idx="33">
                  <c:v>-4.9000000000000004</c:v>
                </c:pt>
                <c:pt idx="34">
                  <c:v>-5</c:v>
                </c:pt>
              </c:numCache>
            </c:numRef>
          </c:cat>
          <c:val>
            <c:numRef>
              <c:f>'3kOhm 0.1%'!$U$8:$U$42</c:f>
              <c:numCache>
                <c:formatCode>0.00\ "mV"</c:formatCode>
                <c:ptCount val="35"/>
                <c:pt idx="0">
                  <c:v>1.4200000000004209</c:v>
                </c:pt>
                <c:pt idx="1">
                  <c:v>1.3199999999997658</c:v>
                </c:pt>
                <c:pt idx="2">
                  <c:v>1.5299999999998093</c:v>
                </c:pt>
                <c:pt idx="3">
                  <c:v>1.340000000000785</c:v>
                </c:pt>
                <c:pt idx="4">
                  <c:v>1.2199999999999989</c:v>
                </c:pt>
                <c:pt idx="5">
                  <c:v>1.1299999999998533</c:v>
                </c:pt>
                <c:pt idx="6">
                  <c:v>2.0000000000131024E-2</c:v>
                </c:pt>
                <c:pt idx="7">
                  <c:v>-3.0000000000196536E-2</c:v>
                </c:pt>
                <c:pt idx="8">
                  <c:v>-0.38000000000004697</c:v>
                </c:pt>
                <c:pt idx="9">
                  <c:v>-0.33000000000005247</c:v>
                </c:pt>
                <c:pt idx="10">
                  <c:v>-0.14000000000002899</c:v>
                </c:pt>
                <c:pt idx="11">
                  <c:v>-0.30000000000002247</c:v>
                </c:pt>
                <c:pt idx="12">
                  <c:v>-9.0000000000006741E-2</c:v>
                </c:pt>
                <c:pt idx="13">
                  <c:v>-0.19000000000000961</c:v>
                </c:pt>
                <c:pt idx="14">
                  <c:v>-0.22000000000000491</c:v>
                </c:pt>
                <c:pt idx="15">
                  <c:v>-9.9999999999999395E-2</c:v>
                </c:pt>
                <c:pt idx="16">
                  <c:v>-0.1799999999999996</c:v>
                </c:pt>
                <c:pt idx="17">
                  <c:v>0.12000000000000001</c:v>
                </c:pt>
                <c:pt idx="18">
                  <c:v>-0.3999999999999993</c:v>
                </c:pt>
                <c:pt idx="19">
                  <c:v>-0.49000000000000088</c:v>
                </c:pt>
                <c:pt idx="20">
                  <c:v>-0.34999999999999615</c:v>
                </c:pt>
                <c:pt idx="21">
                  <c:v>-0.37999999999999146</c:v>
                </c:pt>
                <c:pt idx="22">
                  <c:v>-0.47000000000002595</c:v>
                </c:pt>
                <c:pt idx="23">
                  <c:v>-0.24000000000001798</c:v>
                </c:pt>
                <c:pt idx="24">
                  <c:v>-0.39000000000000146</c:v>
                </c:pt>
                <c:pt idx="25">
                  <c:v>-0.17000000000000348</c:v>
                </c:pt>
                <c:pt idx="26">
                  <c:v>-4.9999999999883471E-2</c:v>
                </c:pt>
                <c:pt idx="27">
                  <c:v>-0.30999999999981043</c:v>
                </c:pt>
                <c:pt idx="28">
                  <c:v>-0.25999999999992696</c:v>
                </c:pt>
                <c:pt idx="29">
                  <c:v>-1.1199999999993437</c:v>
                </c:pt>
                <c:pt idx="30">
                  <c:v>-1.2100000000003774</c:v>
                </c:pt>
                <c:pt idx="31">
                  <c:v>-1.320000000000654</c:v>
                </c:pt>
                <c:pt idx="32">
                  <c:v>-1.4599999999997948</c:v>
                </c:pt>
                <c:pt idx="33">
                  <c:v>-1.2399999999992417</c:v>
                </c:pt>
                <c:pt idx="34">
                  <c:v>-1.3300000000002754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3-4156-8574-AAE7E7FAD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5382664"/>
        <c:axId val="235388896"/>
      </c:barChart>
      <c:catAx>
        <c:axId val="235382664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5388896"/>
        <c:crosses val="autoZero"/>
        <c:auto val="1"/>
        <c:lblAlgn val="ctr"/>
        <c:lblOffset val="100"/>
        <c:noMultiLvlLbl val="0"/>
      </c:catAx>
      <c:valAx>
        <c:axId val="23538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V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5382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baseline="0">
                <a:effectLst/>
              </a:rPr>
              <a:t>absolute deviation OUT-IN</a:t>
            </a:r>
            <a:endParaRPr lang="de-DE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'3kOhm 0.1%'!$A$8:$A$42</c:f>
              <c:numCache>
                <c:formatCode>0.00</c:formatCode>
                <c:ptCount val="35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0.75</c:v>
                </c:pt>
                <c:pt idx="11">
                  <c:v>0.5</c:v>
                </c:pt>
                <c:pt idx="12">
                  <c:v>0.25</c:v>
                </c:pt>
                <c:pt idx="13">
                  <c:v>0.1</c:v>
                </c:pt>
                <c:pt idx="14">
                  <c:v>0.05</c:v>
                </c:pt>
                <c:pt idx="15">
                  <c:v>0.02</c:v>
                </c:pt>
                <c:pt idx="16">
                  <c:v>0.01</c:v>
                </c:pt>
                <c:pt idx="17">
                  <c:v>0</c:v>
                </c:pt>
                <c:pt idx="18">
                  <c:v>-0.01</c:v>
                </c:pt>
                <c:pt idx="19">
                  <c:v>-0.02</c:v>
                </c:pt>
                <c:pt idx="20">
                  <c:v>-0.05</c:v>
                </c:pt>
                <c:pt idx="21">
                  <c:v>-0.1</c:v>
                </c:pt>
                <c:pt idx="22">
                  <c:v>-0.25</c:v>
                </c:pt>
                <c:pt idx="23">
                  <c:v>-0.5</c:v>
                </c:pt>
                <c:pt idx="24">
                  <c:v>-0.75</c:v>
                </c:pt>
                <c:pt idx="25">
                  <c:v>-1</c:v>
                </c:pt>
                <c:pt idx="26">
                  <c:v>-2</c:v>
                </c:pt>
                <c:pt idx="27">
                  <c:v>-3</c:v>
                </c:pt>
                <c:pt idx="28">
                  <c:v>-4</c:v>
                </c:pt>
                <c:pt idx="29">
                  <c:v>-4.4000000000000004</c:v>
                </c:pt>
                <c:pt idx="30">
                  <c:v>-4.5</c:v>
                </c:pt>
                <c:pt idx="31">
                  <c:v>-4.5999999999999996</c:v>
                </c:pt>
                <c:pt idx="32">
                  <c:v>-4.75</c:v>
                </c:pt>
                <c:pt idx="33">
                  <c:v>-4.9000000000000004</c:v>
                </c:pt>
                <c:pt idx="34">
                  <c:v>-5</c:v>
                </c:pt>
              </c:numCache>
            </c:numRef>
          </c:cat>
          <c:val>
            <c:numRef>
              <c:f>'3kOhm 0.1%'!$D$8:$D$42</c:f>
              <c:numCache>
                <c:formatCode>0.00\ "mV"</c:formatCode>
                <c:ptCount val="35"/>
                <c:pt idx="0">
                  <c:v>-70.450000000000131</c:v>
                </c:pt>
                <c:pt idx="1">
                  <c:v>1.1199999999993437</c:v>
                </c:pt>
                <c:pt idx="2">
                  <c:v>1.4399999999996638</c:v>
                </c:pt>
                <c:pt idx="3">
                  <c:v>1.2800000000003919</c:v>
                </c:pt>
                <c:pt idx="4">
                  <c:v>1.1299999999998533</c:v>
                </c:pt>
                <c:pt idx="5">
                  <c:v>1.0599999999998388</c:v>
                </c:pt>
                <c:pt idx="6">
                  <c:v>0.7299999999998974</c:v>
                </c:pt>
                <c:pt idx="7">
                  <c:v>-2.0000000000131024E-2</c:v>
                </c:pt>
                <c:pt idx="8">
                  <c:v>-0.36999999999998145</c:v>
                </c:pt>
                <c:pt idx="9">
                  <c:v>-0.31999999999998696</c:v>
                </c:pt>
                <c:pt idx="10">
                  <c:v>-0.12000000000000899</c:v>
                </c:pt>
                <c:pt idx="11">
                  <c:v>-0.29000000000001247</c:v>
                </c:pt>
                <c:pt idx="12">
                  <c:v>-7.999999999999674E-2</c:v>
                </c:pt>
                <c:pt idx="13">
                  <c:v>-0.1799999999999996</c:v>
                </c:pt>
                <c:pt idx="14">
                  <c:v>-0.22000000000000491</c:v>
                </c:pt>
                <c:pt idx="15">
                  <c:v>-8.9999999999999802E-2</c:v>
                </c:pt>
                <c:pt idx="16">
                  <c:v>-0.17</c:v>
                </c:pt>
                <c:pt idx="17">
                  <c:v>0.12000000000000001</c:v>
                </c:pt>
                <c:pt idx="18">
                  <c:v>-0.41000000000000064</c:v>
                </c:pt>
                <c:pt idx="19">
                  <c:v>-0.47799999999999926</c:v>
                </c:pt>
                <c:pt idx="20">
                  <c:v>-0.34999999999999615</c:v>
                </c:pt>
                <c:pt idx="21">
                  <c:v>-0.37999999999999146</c:v>
                </c:pt>
                <c:pt idx="22">
                  <c:v>-0.47000000000002595</c:v>
                </c:pt>
                <c:pt idx="23">
                  <c:v>-0.22999999999995246</c:v>
                </c:pt>
                <c:pt idx="24">
                  <c:v>-0.38000000000004697</c:v>
                </c:pt>
                <c:pt idx="25">
                  <c:v>-0.15999999999993797</c:v>
                </c:pt>
                <c:pt idx="26">
                  <c:v>-3.9999999999817959E-2</c:v>
                </c:pt>
                <c:pt idx="27">
                  <c:v>-0.30999999999981043</c:v>
                </c:pt>
                <c:pt idx="28">
                  <c:v>-0.77999999999978087</c:v>
                </c:pt>
                <c:pt idx="29">
                  <c:v>-1.0399999999997078</c:v>
                </c:pt>
                <c:pt idx="30">
                  <c:v>-1.1400000000003629</c:v>
                </c:pt>
                <c:pt idx="31">
                  <c:v>-1.2400000000001299</c:v>
                </c:pt>
                <c:pt idx="32">
                  <c:v>-1.4200000000004209</c:v>
                </c:pt>
                <c:pt idx="33">
                  <c:v>0.3800000000007131</c:v>
                </c:pt>
                <c:pt idx="34">
                  <c:v>71.100000000000392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D-4C8B-B2B6-C5088D575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608800"/>
        <c:axId val="227610440"/>
      </c:barChart>
      <c:catAx>
        <c:axId val="227608800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7610440"/>
        <c:crosses val="autoZero"/>
        <c:auto val="1"/>
        <c:lblAlgn val="ctr"/>
        <c:lblOffset val="100"/>
        <c:noMultiLvlLbl val="0"/>
      </c:catAx>
      <c:valAx>
        <c:axId val="227610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V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760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Single-ended to Ground total range -5V to +5V</a:t>
            </a:r>
            <a:endParaRPr lang="de-DE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'10kOhm 0.1%'!$A$8:$A$42</c:f>
              <c:numCache>
                <c:formatCode>0.00</c:formatCode>
                <c:ptCount val="35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0.75</c:v>
                </c:pt>
                <c:pt idx="11">
                  <c:v>0.5</c:v>
                </c:pt>
                <c:pt idx="12">
                  <c:v>0.25</c:v>
                </c:pt>
                <c:pt idx="13">
                  <c:v>0.1</c:v>
                </c:pt>
                <c:pt idx="14">
                  <c:v>0.05</c:v>
                </c:pt>
                <c:pt idx="15">
                  <c:v>0.02</c:v>
                </c:pt>
                <c:pt idx="16">
                  <c:v>0.01</c:v>
                </c:pt>
                <c:pt idx="17">
                  <c:v>0</c:v>
                </c:pt>
                <c:pt idx="18">
                  <c:v>-0.01</c:v>
                </c:pt>
                <c:pt idx="19">
                  <c:v>-0.02</c:v>
                </c:pt>
                <c:pt idx="20">
                  <c:v>-0.05</c:v>
                </c:pt>
                <c:pt idx="21">
                  <c:v>-0.1</c:v>
                </c:pt>
                <c:pt idx="22">
                  <c:v>-0.25</c:v>
                </c:pt>
                <c:pt idx="23">
                  <c:v>-0.5</c:v>
                </c:pt>
                <c:pt idx="24">
                  <c:v>-0.75</c:v>
                </c:pt>
                <c:pt idx="25">
                  <c:v>-1</c:v>
                </c:pt>
                <c:pt idx="26">
                  <c:v>-2</c:v>
                </c:pt>
                <c:pt idx="27">
                  <c:v>-3</c:v>
                </c:pt>
                <c:pt idx="28">
                  <c:v>-4</c:v>
                </c:pt>
                <c:pt idx="29">
                  <c:v>-4.4000000000000004</c:v>
                </c:pt>
                <c:pt idx="30">
                  <c:v>-4.5</c:v>
                </c:pt>
                <c:pt idx="31">
                  <c:v>-4.5999999999999996</c:v>
                </c:pt>
                <c:pt idx="32">
                  <c:v>-4.75</c:v>
                </c:pt>
                <c:pt idx="33">
                  <c:v>-4.9000000000000004</c:v>
                </c:pt>
                <c:pt idx="34">
                  <c:v>-5</c:v>
                </c:pt>
              </c:numCache>
            </c:numRef>
          </c:xVal>
          <c:yVal>
            <c:numRef>
              <c:f>'10kOhm 0.1%'!$B$8:$B$42</c:f>
              <c:numCache>
                <c:formatCode>0.000</c:formatCode>
                <c:ptCount val="35"/>
                <c:pt idx="0">
                  <c:v>4.9458799999999998</c:v>
                </c:pt>
                <c:pt idx="1">
                  <c:v>4.9013499999999999</c:v>
                </c:pt>
                <c:pt idx="2">
                  <c:v>4.7515799999999997</c:v>
                </c:pt>
                <c:pt idx="3">
                  <c:v>4.6013999999999999</c:v>
                </c:pt>
                <c:pt idx="4">
                  <c:v>4.5012699999999999</c:v>
                </c:pt>
                <c:pt idx="5">
                  <c:v>4.4011500000000003</c:v>
                </c:pt>
                <c:pt idx="6">
                  <c:v>4.0008100000000004</c:v>
                </c:pt>
                <c:pt idx="7">
                  <c:v>3.0000200000000001</c:v>
                </c:pt>
                <c:pt idx="8">
                  <c:v>1.9996700000000001</c:v>
                </c:pt>
                <c:pt idx="9">
                  <c:v>0.99970000000000003</c:v>
                </c:pt>
                <c:pt idx="10">
                  <c:v>0.74988999999999995</c:v>
                </c:pt>
                <c:pt idx="11">
                  <c:v>0.49970999999999999</c:v>
                </c:pt>
                <c:pt idx="12">
                  <c:v>0.24993000000000001</c:v>
                </c:pt>
                <c:pt idx="13">
                  <c:v>9.9830000000000002E-2</c:v>
                </c:pt>
                <c:pt idx="14">
                  <c:v>4.9790000000000001E-2</c:v>
                </c:pt>
                <c:pt idx="15">
                  <c:v>1.992E-2</c:v>
                </c:pt>
                <c:pt idx="16">
                  <c:v>9.8399999999999998E-3</c:v>
                </c:pt>
                <c:pt idx="17">
                  <c:v>1.2999999999999999E-4</c:v>
                </c:pt>
                <c:pt idx="18">
                  <c:v>-1.039E-2</c:v>
                </c:pt>
                <c:pt idx="19">
                  <c:v>-2.0475E-2</c:v>
                </c:pt>
                <c:pt idx="20">
                  <c:v>-5.0345000000000001E-2</c:v>
                </c:pt>
                <c:pt idx="21">
                  <c:v>-0.10037</c:v>
                </c:pt>
                <c:pt idx="22">
                  <c:v>-0.25047000000000003</c:v>
                </c:pt>
                <c:pt idx="23">
                  <c:v>-0.50024999999999997</c:v>
                </c:pt>
                <c:pt idx="24">
                  <c:v>-0.75041999999999998</c:v>
                </c:pt>
                <c:pt idx="25">
                  <c:v>-1.0002</c:v>
                </c:pt>
                <c:pt idx="26">
                  <c:v>-2.0001000000000002</c:v>
                </c:pt>
                <c:pt idx="27">
                  <c:v>-3.0004200000000001</c:v>
                </c:pt>
                <c:pt idx="28">
                  <c:v>-4.0008999999999997</c:v>
                </c:pt>
                <c:pt idx="29">
                  <c:v>-4.4012000000000002</c:v>
                </c:pt>
                <c:pt idx="30">
                  <c:v>-4.5012999999999996</c:v>
                </c:pt>
                <c:pt idx="31">
                  <c:v>-4.6014099999999996</c:v>
                </c:pt>
                <c:pt idx="32">
                  <c:v>-4.7515499999999999</c:v>
                </c:pt>
                <c:pt idx="33">
                  <c:v>-4.9013400000000003</c:v>
                </c:pt>
                <c:pt idx="34">
                  <c:v>-4.9451999999999998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75-4283-BE50-8DC855130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609128"/>
        <c:axId val="227613392"/>
      </c:scatterChart>
      <c:valAx>
        <c:axId val="227609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7613392"/>
        <c:crosses val="autoZero"/>
        <c:crossBetween val="midCat"/>
      </c:valAx>
      <c:valAx>
        <c:axId val="22761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7609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baseline="0">
                <a:effectLst/>
              </a:rPr>
              <a:t>absolute deviation OUT-IN</a:t>
            </a:r>
            <a:endParaRPr lang="de-DE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'10kOhm 0.1%'!$A$8:$A$42</c:f>
              <c:numCache>
                <c:formatCode>0.00</c:formatCode>
                <c:ptCount val="35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0.75</c:v>
                </c:pt>
                <c:pt idx="11">
                  <c:v>0.5</c:v>
                </c:pt>
                <c:pt idx="12">
                  <c:v>0.25</c:v>
                </c:pt>
                <c:pt idx="13">
                  <c:v>0.1</c:v>
                </c:pt>
                <c:pt idx="14">
                  <c:v>0.05</c:v>
                </c:pt>
                <c:pt idx="15">
                  <c:v>0.02</c:v>
                </c:pt>
                <c:pt idx="16">
                  <c:v>0.01</c:v>
                </c:pt>
                <c:pt idx="17">
                  <c:v>0</c:v>
                </c:pt>
                <c:pt idx="18">
                  <c:v>-0.01</c:v>
                </c:pt>
                <c:pt idx="19">
                  <c:v>-0.02</c:v>
                </c:pt>
                <c:pt idx="20">
                  <c:v>-0.05</c:v>
                </c:pt>
                <c:pt idx="21">
                  <c:v>-0.1</c:v>
                </c:pt>
                <c:pt idx="22">
                  <c:v>-0.25</c:v>
                </c:pt>
                <c:pt idx="23">
                  <c:v>-0.5</c:v>
                </c:pt>
                <c:pt idx="24">
                  <c:v>-0.75</c:v>
                </c:pt>
                <c:pt idx="25">
                  <c:v>-1</c:v>
                </c:pt>
                <c:pt idx="26">
                  <c:v>-2</c:v>
                </c:pt>
                <c:pt idx="27">
                  <c:v>-3</c:v>
                </c:pt>
                <c:pt idx="28">
                  <c:v>-4</c:v>
                </c:pt>
                <c:pt idx="29">
                  <c:v>-4.4000000000000004</c:v>
                </c:pt>
                <c:pt idx="30">
                  <c:v>-4.5</c:v>
                </c:pt>
                <c:pt idx="31">
                  <c:v>-4.5999999999999996</c:v>
                </c:pt>
                <c:pt idx="32">
                  <c:v>-4.75</c:v>
                </c:pt>
                <c:pt idx="33">
                  <c:v>-4.9000000000000004</c:v>
                </c:pt>
                <c:pt idx="34">
                  <c:v>-5</c:v>
                </c:pt>
              </c:numCache>
            </c:numRef>
          </c:cat>
          <c:val>
            <c:numRef>
              <c:f>'10kOhm 0.1%'!$D$8:$D$42</c:f>
              <c:numCache>
                <c:formatCode>0.00\ "mV"</c:formatCode>
                <c:ptCount val="35"/>
                <c:pt idx="0">
                  <c:v>-54.120000000000168</c:v>
                </c:pt>
                <c:pt idx="1">
                  <c:v>1.3499999999995183</c:v>
                </c:pt>
                <c:pt idx="2">
                  <c:v>1.5799999999996928</c:v>
                </c:pt>
                <c:pt idx="3">
                  <c:v>1.4000000000002899</c:v>
                </c:pt>
                <c:pt idx="4">
                  <c:v>1.2699999999998823</c:v>
                </c:pt>
                <c:pt idx="5">
                  <c:v>1.1499999999999844</c:v>
                </c:pt>
                <c:pt idx="6">
                  <c:v>0.81000000000042149</c:v>
                </c:pt>
                <c:pt idx="7">
                  <c:v>2.0000000000131024E-2</c:v>
                </c:pt>
                <c:pt idx="8">
                  <c:v>-0.32999999999994145</c:v>
                </c:pt>
                <c:pt idx="9">
                  <c:v>-0.29999999999996696</c:v>
                </c:pt>
                <c:pt idx="10">
                  <c:v>-0.1100000000000545</c:v>
                </c:pt>
                <c:pt idx="11">
                  <c:v>-0.29000000000001247</c:v>
                </c:pt>
                <c:pt idx="12">
                  <c:v>-6.9999999999986739E-2</c:v>
                </c:pt>
                <c:pt idx="13">
                  <c:v>-0.17000000000000348</c:v>
                </c:pt>
                <c:pt idx="14">
                  <c:v>-0.21000000000000185</c:v>
                </c:pt>
                <c:pt idx="15">
                  <c:v>-8.000000000000021E-2</c:v>
                </c:pt>
                <c:pt idx="16">
                  <c:v>-0.16000000000000042</c:v>
                </c:pt>
                <c:pt idx="17">
                  <c:v>0.12999999999999998</c:v>
                </c:pt>
                <c:pt idx="18">
                  <c:v>-0.38999999999999974</c:v>
                </c:pt>
                <c:pt idx="19">
                  <c:v>-0.47499999999999976</c:v>
                </c:pt>
                <c:pt idx="20">
                  <c:v>-0.34499999999999809</c:v>
                </c:pt>
                <c:pt idx="21">
                  <c:v>-0.36999999999999533</c:v>
                </c:pt>
                <c:pt idx="22">
                  <c:v>-0.47000000000002595</c:v>
                </c:pt>
                <c:pt idx="23">
                  <c:v>-0.24999999999997247</c:v>
                </c:pt>
                <c:pt idx="24">
                  <c:v>-0.41999999999997595</c:v>
                </c:pt>
                <c:pt idx="25">
                  <c:v>-0.19999999999997797</c:v>
                </c:pt>
                <c:pt idx="26">
                  <c:v>-0.10000000000021103</c:v>
                </c:pt>
                <c:pt idx="27">
                  <c:v>-0.42000000000008697</c:v>
                </c:pt>
                <c:pt idx="28">
                  <c:v>-0.89999999999967883</c:v>
                </c:pt>
                <c:pt idx="29">
                  <c:v>-1.1999999999998678</c:v>
                </c:pt>
                <c:pt idx="30">
                  <c:v>-1.2999999999996348</c:v>
                </c:pt>
                <c:pt idx="31">
                  <c:v>-1.4099999999999113</c:v>
                </c:pt>
                <c:pt idx="32">
                  <c:v>-1.5499999999999403</c:v>
                </c:pt>
                <c:pt idx="33">
                  <c:v>-1.3399999999998968</c:v>
                </c:pt>
                <c:pt idx="34">
                  <c:v>54.800000000000182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10-4656-B00F-9AF32D91D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485952"/>
        <c:axId val="230486280"/>
      </c:barChart>
      <c:catAx>
        <c:axId val="230485952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0486280"/>
        <c:crosses val="autoZero"/>
        <c:auto val="1"/>
        <c:lblAlgn val="ctr"/>
        <c:lblOffset val="100"/>
        <c:noMultiLvlLbl val="0"/>
      </c:catAx>
      <c:valAx>
        <c:axId val="23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V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048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1667</xdr:colOff>
      <xdr:row>6</xdr:row>
      <xdr:rowOff>3453</xdr:rowOff>
    </xdr:from>
    <xdr:to>
      <xdr:col>14</xdr:col>
      <xdr:colOff>789821</xdr:colOff>
      <xdr:row>26</xdr:row>
      <xdr:rowOff>181213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5109D25-797D-4C46-BC0A-9AAEA65A5D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5036</xdr:colOff>
      <xdr:row>28</xdr:row>
      <xdr:rowOff>6130</xdr:rowOff>
    </xdr:from>
    <xdr:to>
      <xdr:col>10</xdr:col>
      <xdr:colOff>787542</xdr:colOff>
      <xdr:row>40</xdr:row>
      <xdr:rowOff>4256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C550B2B4-BA38-4434-B38D-63E56D943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4713</xdr:colOff>
      <xdr:row>5</xdr:row>
      <xdr:rowOff>179615</xdr:rowOff>
    </xdr:from>
    <xdr:to>
      <xdr:col>32</xdr:col>
      <xdr:colOff>0</xdr:colOff>
      <xdr:row>26</xdr:row>
      <xdr:rowOff>182335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5E7B641B-A825-47E0-8A2E-FD9DC7939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7920</xdr:colOff>
      <xdr:row>6</xdr:row>
      <xdr:rowOff>3215</xdr:rowOff>
    </xdr:from>
    <xdr:to>
      <xdr:col>14</xdr:col>
      <xdr:colOff>786468</xdr:colOff>
      <xdr:row>27</xdr:row>
      <xdr:rowOff>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953A7909-7C78-40D9-9DE3-23EF2D098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2547</xdr:colOff>
      <xdr:row>28</xdr:row>
      <xdr:rowOff>4379</xdr:rowOff>
    </xdr:from>
    <xdr:to>
      <xdr:col>27</xdr:col>
      <xdr:colOff>792654</xdr:colOff>
      <xdr:row>39</xdr:row>
      <xdr:rowOff>183931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51F4E37-D5AD-48FD-9227-335FF7D4A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3494</xdr:colOff>
      <xdr:row>28</xdr:row>
      <xdr:rowOff>6383</xdr:rowOff>
    </xdr:from>
    <xdr:to>
      <xdr:col>10</xdr:col>
      <xdr:colOff>789962</xdr:colOff>
      <xdr:row>39</xdr:row>
      <xdr:rowOff>178266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5AEF0828-B6C2-4F37-9635-4281870C0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3979</xdr:colOff>
      <xdr:row>6</xdr:row>
      <xdr:rowOff>5800</xdr:rowOff>
    </xdr:from>
    <xdr:to>
      <xdr:col>14</xdr:col>
      <xdr:colOff>787865</xdr:colOff>
      <xdr:row>26</xdr:row>
      <xdr:rowOff>177071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A9FDE8F-4899-414E-9A0F-C3EC4F74F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3302</xdr:colOff>
      <xdr:row>28</xdr:row>
      <xdr:rowOff>4497</xdr:rowOff>
    </xdr:from>
    <xdr:to>
      <xdr:col>10</xdr:col>
      <xdr:colOff>785875</xdr:colOff>
      <xdr:row>39</xdr:row>
      <xdr:rowOff>179060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BDA23F80-02E3-4A23-A779-692B85619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F443E-8E2B-4E9B-A87E-1C05225EC942}">
  <dimension ref="A1:E42"/>
  <sheetViews>
    <sheetView tabSelected="1" zoomScale="80" zoomScaleNormal="80" workbookViewId="0">
      <selection activeCell="R8" sqref="R8"/>
    </sheetView>
  </sheetViews>
  <sheetFormatPr baseColWidth="10" defaultRowHeight="14.4" x14ac:dyDescent="0.3"/>
  <cols>
    <col min="4" max="5" width="13.77734375" customWidth="1"/>
  </cols>
  <sheetData>
    <row r="1" spans="1:5" x14ac:dyDescent="0.3">
      <c r="A1" s="5" t="s">
        <v>5</v>
      </c>
      <c r="B1" s="5"/>
      <c r="C1" s="5"/>
      <c r="D1" s="5"/>
      <c r="E1" s="5"/>
    </row>
    <row r="2" spans="1:5" x14ac:dyDescent="0.3">
      <c r="A2" s="5" t="s">
        <v>9</v>
      </c>
      <c r="B2" s="5"/>
      <c r="C2" s="5"/>
      <c r="D2" s="5"/>
      <c r="E2" s="5"/>
    </row>
    <row r="4" spans="1:5" x14ac:dyDescent="0.3">
      <c r="A4" s="6" t="s">
        <v>0</v>
      </c>
      <c r="B4" s="6" t="s">
        <v>0</v>
      </c>
    </row>
    <row r="5" spans="1:5" x14ac:dyDescent="0.3">
      <c r="A5" s="6" t="s">
        <v>1</v>
      </c>
      <c r="B5" s="6" t="s">
        <v>3</v>
      </c>
    </row>
    <row r="7" spans="1:5" x14ac:dyDescent="0.3">
      <c r="A7" s="10" t="s">
        <v>0</v>
      </c>
      <c r="B7" s="10" t="s">
        <v>2</v>
      </c>
      <c r="C7" s="10"/>
      <c r="D7" s="10" t="s">
        <v>6</v>
      </c>
      <c r="E7" s="10" t="s">
        <v>7</v>
      </c>
    </row>
    <row r="8" spans="1:5" x14ac:dyDescent="0.3">
      <c r="A8" s="1">
        <v>5</v>
      </c>
      <c r="B8" s="2">
        <v>4.8845000000000001</v>
      </c>
      <c r="D8" s="3">
        <f>PRODUCT(B8-A8, 1000)</f>
        <v>-115.49999999999994</v>
      </c>
    </row>
    <row r="9" spans="1:5" x14ac:dyDescent="0.3">
      <c r="A9" s="1">
        <v>4.9000000000000004</v>
      </c>
      <c r="B9" s="2">
        <v>4.8827299999999996</v>
      </c>
      <c r="D9" s="3">
        <f t="shared" ref="D9:D42" si="0">PRODUCT(B9-A9, 1000)</f>
        <v>-17.270000000000785</v>
      </c>
    </row>
    <row r="10" spans="1:5" x14ac:dyDescent="0.3">
      <c r="A10" s="1">
        <v>4.75</v>
      </c>
      <c r="B10" s="2">
        <v>4.7520300000000004</v>
      </c>
      <c r="D10" s="3">
        <f t="shared" si="0"/>
        <v>2.0300000000004204</v>
      </c>
    </row>
    <row r="11" spans="1:5" x14ac:dyDescent="0.3">
      <c r="A11" s="1">
        <v>4.5999999999999996</v>
      </c>
      <c r="B11" s="2">
        <v>4.6016599999999999</v>
      </c>
      <c r="D11" s="3">
        <f t="shared" si="0"/>
        <v>1.6600000000002169</v>
      </c>
    </row>
    <row r="12" spans="1:5" x14ac:dyDescent="0.3">
      <c r="A12" s="1">
        <v>4.5</v>
      </c>
      <c r="B12" s="2">
        <v>4.5014000000000003</v>
      </c>
      <c r="D12" s="3">
        <f t="shared" si="0"/>
        <v>1.4000000000002899</v>
      </c>
    </row>
    <row r="13" spans="1:5" x14ac:dyDescent="0.3">
      <c r="A13" s="1">
        <v>4.4000000000000004</v>
      </c>
      <c r="B13" s="2">
        <v>4.4011399999999998</v>
      </c>
      <c r="D13" s="3">
        <f t="shared" si="0"/>
        <v>1.1399999999994748</v>
      </c>
    </row>
    <row r="14" spans="1:5" x14ac:dyDescent="0.3">
      <c r="A14" s="1">
        <v>4</v>
      </c>
      <c r="B14" s="2">
        <v>4.0002199999999997</v>
      </c>
      <c r="D14" s="3">
        <f t="shared" si="0"/>
        <v>0.21999999999966491</v>
      </c>
    </row>
    <row r="15" spans="1:5" x14ac:dyDescent="0.3">
      <c r="A15" s="1">
        <v>3</v>
      </c>
      <c r="B15" s="2">
        <v>2.9979</v>
      </c>
      <c r="D15" s="3">
        <f t="shared" si="0"/>
        <v>-2.0999999999999908</v>
      </c>
    </row>
    <row r="16" spans="1:5" x14ac:dyDescent="0.3">
      <c r="A16" s="1">
        <v>2</v>
      </c>
      <c r="B16" s="2">
        <v>1.9961</v>
      </c>
      <c r="D16" s="3">
        <f t="shared" si="0"/>
        <v>-3.9000000000000146</v>
      </c>
    </row>
    <row r="17" spans="1:5" x14ac:dyDescent="0.3">
      <c r="A17" s="1">
        <v>1</v>
      </c>
      <c r="B17" s="2">
        <v>0.99467000000000005</v>
      </c>
      <c r="D17" s="3">
        <f t="shared" si="0"/>
        <v>-5.3299999999999459</v>
      </c>
    </row>
    <row r="18" spans="1:5" x14ac:dyDescent="0.3">
      <c r="A18" s="1">
        <v>0.75</v>
      </c>
      <c r="B18" s="2">
        <v>0.74448999999999999</v>
      </c>
      <c r="D18" s="3">
        <f t="shared" si="0"/>
        <v>-5.5100000000000149</v>
      </c>
    </row>
    <row r="19" spans="1:5" x14ac:dyDescent="0.3">
      <c r="A19" s="1">
        <v>0.5</v>
      </c>
      <c r="B19" s="2">
        <v>0.49396000000000001</v>
      </c>
      <c r="D19" s="3">
        <f t="shared" si="0"/>
        <v>-6.0399999999999903</v>
      </c>
    </row>
    <row r="20" spans="1:5" x14ac:dyDescent="0.3">
      <c r="A20" s="1">
        <v>0.25</v>
      </c>
      <c r="B20" s="2">
        <v>0.24379999999999999</v>
      </c>
      <c r="D20" s="3">
        <f t="shared" si="0"/>
        <v>-6.2000000000000108</v>
      </c>
    </row>
    <row r="21" spans="1:5" x14ac:dyDescent="0.3">
      <c r="A21" s="1">
        <v>0.1</v>
      </c>
      <c r="B21" s="2">
        <v>9.3490000000000004E-2</v>
      </c>
      <c r="D21" s="3">
        <f t="shared" si="0"/>
        <v>-6.5100000000000016</v>
      </c>
    </row>
    <row r="22" spans="1:5" x14ac:dyDescent="0.3">
      <c r="A22" s="1">
        <v>0.05</v>
      </c>
      <c r="B22" s="2">
        <v>4.3380000000000002E-2</v>
      </c>
      <c r="D22" s="3">
        <f t="shared" si="0"/>
        <v>-6.620000000000001</v>
      </c>
    </row>
    <row r="23" spans="1:5" x14ac:dyDescent="0.3">
      <c r="A23" s="1">
        <v>0.02</v>
      </c>
      <c r="B23" s="2">
        <v>1.3469999999999999E-2</v>
      </c>
      <c r="D23" s="3">
        <f t="shared" si="0"/>
        <v>-6.5300000000000011</v>
      </c>
    </row>
    <row r="24" spans="1:5" x14ac:dyDescent="0.3">
      <c r="A24" s="1">
        <v>0.01</v>
      </c>
      <c r="B24" s="2">
        <v>3.3800000000000002E-3</v>
      </c>
      <c r="D24" s="3">
        <f t="shared" si="0"/>
        <v>-6.62</v>
      </c>
    </row>
    <row r="25" spans="1:5" x14ac:dyDescent="0.3">
      <c r="A25" s="7">
        <v>0</v>
      </c>
      <c r="B25" s="8">
        <v>-6.3299999999999997E-3</v>
      </c>
      <c r="C25" s="9"/>
      <c r="D25" s="12">
        <f t="shared" si="0"/>
        <v>-6.33</v>
      </c>
      <c r="E25" s="9"/>
    </row>
    <row r="26" spans="1:5" x14ac:dyDescent="0.3">
      <c r="A26" s="1">
        <v>-0.01</v>
      </c>
      <c r="B26" s="2">
        <v>-1.6920000000000001E-2</v>
      </c>
      <c r="D26" s="3">
        <f t="shared" si="0"/>
        <v>-6.9200000000000008</v>
      </c>
    </row>
    <row r="27" spans="1:5" x14ac:dyDescent="0.3">
      <c r="A27" s="1">
        <v>-0.02</v>
      </c>
      <c r="B27" s="2">
        <v>-2.6980000000000001E-2</v>
      </c>
      <c r="D27" s="3">
        <f t="shared" si="0"/>
        <v>-6.98</v>
      </c>
    </row>
    <row r="28" spans="1:5" x14ac:dyDescent="0.3">
      <c r="A28" s="1">
        <v>-0.05</v>
      </c>
      <c r="B28" s="2">
        <v>-5.6860000000000001E-2</v>
      </c>
      <c r="D28" s="3">
        <f t="shared" si="0"/>
        <v>-6.8599999999999977</v>
      </c>
    </row>
    <row r="29" spans="1:5" x14ac:dyDescent="0.3">
      <c r="A29" s="1">
        <v>-0.1</v>
      </c>
      <c r="B29" s="2">
        <v>-0.10684</v>
      </c>
      <c r="D29" s="3">
        <f t="shared" si="0"/>
        <v>-6.839999999999999</v>
      </c>
    </row>
    <row r="30" spans="1:5" x14ac:dyDescent="0.3">
      <c r="A30" s="1">
        <v>-0.25</v>
      </c>
      <c r="B30" s="2">
        <v>-0.25672</v>
      </c>
      <c r="D30" s="3">
        <f t="shared" si="0"/>
        <v>-6.7200000000000042</v>
      </c>
    </row>
    <row r="31" spans="1:5" x14ac:dyDescent="0.3">
      <c r="A31" s="1">
        <v>-0.5</v>
      </c>
      <c r="B31" s="2">
        <v>-0.50621000000000005</v>
      </c>
      <c r="D31" s="3">
        <f t="shared" si="0"/>
        <v>-6.2100000000000488</v>
      </c>
    </row>
    <row r="32" spans="1:5" x14ac:dyDescent="0.3">
      <c r="A32" s="1">
        <v>-0.75</v>
      </c>
      <c r="B32" s="2">
        <v>-0.75607999999999997</v>
      </c>
      <c r="D32" s="3">
        <f t="shared" si="0"/>
        <v>-6.0799999999999743</v>
      </c>
    </row>
    <row r="33" spans="1:4" x14ac:dyDescent="0.3">
      <c r="A33" s="1">
        <v>-1</v>
      </c>
      <c r="B33" s="2">
        <v>-1.0059</v>
      </c>
      <c r="D33" s="3">
        <f t="shared" si="0"/>
        <v>-5.9000000000000163</v>
      </c>
    </row>
    <row r="34" spans="1:4" x14ac:dyDescent="0.3">
      <c r="A34" s="1">
        <v>-2</v>
      </c>
      <c r="B34" s="2">
        <v>-2.0043000000000002</v>
      </c>
      <c r="D34" s="3">
        <f t="shared" si="0"/>
        <v>-4.3000000000001926</v>
      </c>
    </row>
    <row r="35" spans="1:4" x14ac:dyDescent="0.3">
      <c r="A35" s="1">
        <v>-3</v>
      </c>
      <c r="B35" s="2">
        <v>-3.0034999999999998</v>
      </c>
      <c r="D35" s="3">
        <f t="shared" si="0"/>
        <v>-3.4999999999998366</v>
      </c>
    </row>
    <row r="36" spans="1:4" x14ac:dyDescent="0.3">
      <c r="A36" s="1">
        <v>-4</v>
      </c>
      <c r="B36" s="2">
        <v>-4.0028199999999998</v>
      </c>
      <c r="D36" s="3">
        <f t="shared" si="0"/>
        <v>-2.8199999999998226</v>
      </c>
    </row>
    <row r="37" spans="1:4" x14ac:dyDescent="0.3">
      <c r="A37" s="1">
        <v>-4.4000000000000004</v>
      </c>
      <c r="B37" s="2">
        <v>-4.4026800000000001</v>
      </c>
      <c r="D37" s="3">
        <f t="shared" si="0"/>
        <v>-2.6799999999997937</v>
      </c>
    </row>
    <row r="38" spans="1:4" x14ac:dyDescent="0.3">
      <c r="A38" s="1">
        <v>-4.5</v>
      </c>
      <c r="B38" s="2">
        <v>-4.5026700000000002</v>
      </c>
      <c r="D38" s="3">
        <f t="shared" si="0"/>
        <v>-2.6700000000001722</v>
      </c>
    </row>
    <row r="39" spans="1:4" x14ac:dyDescent="0.3">
      <c r="A39" s="1">
        <v>-4.5999999999999996</v>
      </c>
      <c r="B39" s="2">
        <v>-4.6026400000000001</v>
      </c>
      <c r="D39" s="3">
        <f t="shared" si="0"/>
        <v>-2.6400000000004198</v>
      </c>
    </row>
    <row r="40" spans="1:4" x14ac:dyDescent="0.3">
      <c r="A40" s="1">
        <v>-4.75</v>
      </c>
      <c r="B40" s="2">
        <v>-4.7526200000000003</v>
      </c>
      <c r="D40" s="3">
        <f t="shared" si="0"/>
        <v>-2.6200000000002888</v>
      </c>
    </row>
    <row r="41" spans="1:4" x14ac:dyDescent="0.3">
      <c r="A41" s="1">
        <v>-4.9000000000000004</v>
      </c>
      <c r="B41" s="2">
        <v>-4.8806500000000002</v>
      </c>
      <c r="D41" s="3">
        <f t="shared" si="0"/>
        <v>19.3500000000002</v>
      </c>
    </row>
    <row r="42" spans="1:4" x14ac:dyDescent="0.3">
      <c r="A42" s="1">
        <v>-5</v>
      </c>
      <c r="B42" s="2">
        <v>-4.8840700000000004</v>
      </c>
      <c r="D42" s="3">
        <f t="shared" si="0"/>
        <v>115.92999999999964</v>
      </c>
    </row>
  </sheetData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B32D-E021-4BF0-9EF0-DC6B5762482C}">
  <dimension ref="A1:V42"/>
  <sheetViews>
    <sheetView zoomScale="55" zoomScaleNormal="55" workbookViewId="0">
      <selection activeCell="U37" sqref="U37"/>
    </sheetView>
  </sheetViews>
  <sheetFormatPr baseColWidth="10" defaultRowHeight="14.4" x14ac:dyDescent="0.3"/>
  <cols>
    <col min="4" max="5" width="13.77734375" customWidth="1"/>
    <col min="21" max="22" width="13.77734375" customWidth="1"/>
  </cols>
  <sheetData>
    <row r="1" spans="1:22" x14ac:dyDescent="0.3">
      <c r="A1" s="5" t="s">
        <v>4</v>
      </c>
      <c r="B1" s="5"/>
      <c r="C1" s="5"/>
      <c r="D1" s="5"/>
      <c r="E1" s="5"/>
      <c r="R1" s="5" t="s">
        <v>4</v>
      </c>
      <c r="S1" s="5"/>
      <c r="T1" s="5"/>
      <c r="U1" s="5"/>
      <c r="V1" s="5"/>
    </row>
    <row r="2" spans="1:22" x14ac:dyDescent="0.3">
      <c r="A2" s="5" t="s">
        <v>11</v>
      </c>
      <c r="B2" s="5"/>
      <c r="C2" s="5"/>
      <c r="D2" s="5"/>
      <c r="E2" s="5"/>
      <c r="R2" s="5" t="s">
        <v>10</v>
      </c>
      <c r="S2" s="5"/>
      <c r="T2" s="5"/>
      <c r="U2" s="5"/>
      <c r="V2" s="5"/>
    </row>
    <row r="4" spans="1:22" x14ac:dyDescent="0.3">
      <c r="A4" s="6" t="s">
        <v>0</v>
      </c>
      <c r="B4" s="6" t="s">
        <v>0</v>
      </c>
      <c r="R4" s="6" t="s">
        <v>0</v>
      </c>
      <c r="S4" s="6" t="s">
        <v>0</v>
      </c>
    </row>
    <row r="5" spans="1:22" x14ac:dyDescent="0.3">
      <c r="A5" s="6" t="s">
        <v>1</v>
      </c>
      <c r="B5" s="6" t="s">
        <v>3</v>
      </c>
      <c r="R5" s="6" t="s">
        <v>1</v>
      </c>
      <c r="S5" s="6" t="s">
        <v>3</v>
      </c>
    </row>
    <row r="7" spans="1:22" x14ac:dyDescent="0.3">
      <c r="A7" s="4" t="s">
        <v>0</v>
      </c>
      <c r="B7" s="4" t="s">
        <v>2</v>
      </c>
      <c r="C7" s="4"/>
      <c r="D7" s="4" t="s">
        <v>6</v>
      </c>
      <c r="E7" s="4" t="s">
        <v>7</v>
      </c>
      <c r="R7" s="4" t="s">
        <v>0</v>
      </c>
      <c r="S7" s="4" t="s">
        <v>2</v>
      </c>
      <c r="T7" s="4"/>
      <c r="U7" s="4" t="s">
        <v>6</v>
      </c>
      <c r="V7" s="4" t="s">
        <v>7</v>
      </c>
    </row>
    <row r="8" spans="1:22" x14ac:dyDescent="0.3">
      <c r="A8" s="1">
        <v>5</v>
      </c>
      <c r="B8" s="2">
        <v>4.9295499999999999</v>
      </c>
      <c r="D8" s="3">
        <f>PRODUCT(B8-A8, 1000)</f>
        <v>-70.450000000000131</v>
      </c>
      <c r="R8" s="1">
        <v>5</v>
      </c>
      <c r="S8" s="2">
        <v>5.0014200000000004</v>
      </c>
      <c r="U8" s="3">
        <f xml:space="preserve"> PRODUCT(S8-R8, 1000)</f>
        <v>1.4200000000004209</v>
      </c>
    </row>
    <row r="9" spans="1:22" x14ac:dyDescent="0.3">
      <c r="A9" s="1">
        <v>4.9000000000000004</v>
      </c>
      <c r="B9" s="2">
        <v>4.9011199999999997</v>
      </c>
      <c r="D9" s="3">
        <f t="shared" ref="D9:D42" si="0">PRODUCT(B9-A9, 1000)</f>
        <v>1.1199999999993437</v>
      </c>
      <c r="R9" s="1">
        <v>4.9000000000000004</v>
      </c>
      <c r="S9" s="2">
        <v>4.9013200000000001</v>
      </c>
      <c r="U9" s="3">
        <f t="shared" ref="U9:U42" si="1" xml:space="preserve"> PRODUCT(S9-R9, 1000)</f>
        <v>1.3199999999997658</v>
      </c>
    </row>
    <row r="10" spans="1:22" x14ac:dyDescent="0.3">
      <c r="A10" s="1">
        <v>4.75</v>
      </c>
      <c r="B10" s="2">
        <v>4.7514399999999997</v>
      </c>
      <c r="D10" s="3">
        <f t="shared" si="0"/>
        <v>1.4399999999996638</v>
      </c>
      <c r="R10" s="1">
        <v>4.75</v>
      </c>
      <c r="S10" s="2">
        <v>4.7515299999999998</v>
      </c>
      <c r="U10" s="3">
        <f t="shared" si="1"/>
        <v>1.5299999999998093</v>
      </c>
    </row>
    <row r="11" spans="1:22" x14ac:dyDescent="0.3">
      <c r="A11" s="1">
        <v>4.5999999999999996</v>
      </c>
      <c r="B11" s="2">
        <v>4.60128</v>
      </c>
      <c r="D11" s="3">
        <f t="shared" si="0"/>
        <v>1.2800000000003919</v>
      </c>
      <c r="R11" s="1">
        <v>4.5999999999999996</v>
      </c>
      <c r="S11" s="2">
        <v>4.6013400000000004</v>
      </c>
      <c r="U11" s="3">
        <f t="shared" si="1"/>
        <v>1.340000000000785</v>
      </c>
    </row>
    <row r="12" spans="1:22" x14ac:dyDescent="0.3">
      <c r="A12" s="1">
        <v>4.5</v>
      </c>
      <c r="B12" s="2">
        <v>4.5011299999999999</v>
      </c>
      <c r="D12" s="3">
        <f t="shared" si="0"/>
        <v>1.1299999999998533</v>
      </c>
      <c r="R12" s="1">
        <v>4.5</v>
      </c>
      <c r="S12" s="2">
        <v>4.50122</v>
      </c>
      <c r="U12" s="3">
        <f t="shared" si="1"/>
        <v>1.2199999999999989</v>
      </c>
    </row>
    <row r="13" spans="1:22" x14ac:dyDescent="0.3">
      <c r="A13" s="1">
        <v>4.4000000000000004</v>
      </c>
      <c r="B13" s="2">
        <v>4.4010600000000002</v>
      </c>
      <c r="D13" s="3">
        <f t="shared" si="0"/>
        <v>1.0599999999998388</v>
      </c>
      <c r="R13" s="1">
        <v>4.4000000000000004</v>
      </c>
      <c r="S13" s="2">
        <v>4.4011300000000002</v>
      </c>
      <c r="U13" s="3">
        <f t="shared" si="1"/>
        <v>1.1299999999998533</v>
      </c>
    </row>
    <row r="14" spans="1:22" x14ac:dyDescent="0.3">
      <c r="A14" s="1">
        <v>4</v>
      </c>
      <c r="B14" s="2">
        <v>4.0007299999999999</v>
      </c>
      <c r="D14" s="3">
        <f t="shared" si="0"/>
        <v>0.7299999999998974</v>
      </c>
      <c r="R14" s="1">
        <v>4</v>
      </c>
      <c r="S14" s="2">
        <v>4.0000200000000001</v>
      </c>
      <c r="U14" s="3">
        <f t="shared" si="1"/>
        <v>2.0000000000131024E-2</v>
      </c>
    </row>
    <row r="15" spans="1:22" x14ac:dyDescent="0.3">
      <c r="A15" s="1">
        <v>3</v>
      </c>
      <c r="B15" s="2">
        <v>2.9999799999999999</v>
      </c>
      <c r="D15" s="3">
        <f t="shared" si="0"/>
        <v>-2.0000000000131024E-2</v>
      </c>
      <c r="R15" s="1">
        <v>3</v>
      </c>
      <c r="S15" s="2">
        <v>2.9999699999999998</v>
      </c>
      <c r="U15" s="3">
        <f t="shared" si="1"/>
        <v>-3.0000000000196536E-2</v>
      </c>
    </row>
    <row r="16" spans="1:22" x14ac:dyDescent="0.3">
      <c r="A16" s="1">
        <v>2</v>
      </c>
      <c r="B16" s="2">
        <v>1.99963</v>
      </c>
      <c r="D16" s="3">
        <f t="shared" si="0"/>
        <v>-0.36999999999998145</v>
      </c>
      <c r="R16" s="1">
        <v>2</v>
      </c>
      <c r="S16" s="2">
        <v>1.99962</v>
      </c>
      <c r="U16" s="3">
        <f t="shared" si="1"/>
        <v>-0.38000000000004697</v>
      </c>
    </row>
    <row r="17" spans="1:22" x14ac:dyDescent="0.3">
      <c r="A17" s="1">
        <v>1</v>
      </c>
      <c r="B17" s="2">
        <v>0.99968000000000001</v>
      </c>
      <c r="D17" s="3">
        <f t="shared" si="0"/>
        <v>-0.31999999999998696</v>
      </c>
      <c r="R17" s="1">
        <v>1</v>
      </c>
      <c r="S17" s="2">
        <v>0.99966999999999995</v>
      </c>
      <c r="U17" s="3">
        <f t="shared" si="1"/>
        <v>-0.33000000000005247</v>
      </c>
    </row>
    <row r="18" spans="1:22" x14ac:dyDescent="0.3">
      <c r="A18" s="1">
        <v>0.75</v>
      </c>
      <c r="B18" s="2">
        <v>0.74987999999999999</v>
      </c>
      <c r="D18" s="3">
        <f t="shared" si="0"/>
        <v>-0.12000000000000899</v>
      </c>
      <c r="R18" s="1">
        <v>0.75</v>
      </c>
      <c r="S18" s="2">
        <v>0.74985999999999997</v>
      </c>
      <c r="U18" s="3">
        <f t="shared" si="1"/>
        <v>-0.14000000000002899</v>
      </c>
    </row>
    <row r="19" spans="1:22" x14ac:dyDescent="0.3">
      <c r="A19" s="1">
        <v>0.5</v>
      </c>
      <c r="B19" s="2">
        <v>0.49970999999999999</v>
      </c>
      <c r="D19" s="3">
        <f t="shared" si="0"/>
        <v>-0.29000000000001247</v>
      </c>
      <c r="R19" s="1">
        <v>0.5</v>
      </c>
      <c r="S19" s="2">
        <v>0.49969999999999998</v>
      </c>
      <c r="U19" s="3">
        <f t="shared" si="1"/>
        <v>-0.30000000000002247</v>
      </c>
    </row>
    <row r="20" spans="1:22" x14ac:dyDescent="0.3">
      <c r="A20" s="1">
        <v>0.25</v>
      </c>
      <c r="B20" s="2">
        <v>0.24992</v>
      </c>
      <c r="D20" s="3">
        <f t="shared" si="0"/>
        <v>-7.999999999999674E-2</v>
      </c>
      <c r="R20" s="1">
        <v>0.25</v>
      </c>
      <c r="S20" s="2">
        <v>0.24990999999999999</v>
      </c>
      <c r="U20" s="3">
        <f t="shared" si="1"/>
        <v>-9.0000000000006741E-2</v>
      </c>
    </row>
    <row r="21" spans="1:22" x14ac:dyDescent="0.3">
      <c r="A21" s="1">
        <v>0.1</v>
      </c>
      <c r="B21" s="2">
        <v>9.9820000000000006E-2</v>
      </c>
      <c r="D21" s="3">
        <f t="shared" si="0"/>
        <v>-0.1799999999999996</v>
      </c>
      <c r="R21" s="1">
        <v>0.1</v>
      </c>
      <c r="S21" s="2">
        <v>9.9809999999999996E-2</v>
      </c>
      <c r="U21" s="3">
        <f t="shared" si="1"/>
        <v>-0.19000000000000961</v>
      </c>
    </row>
    <row r="22" spans="1:22" x14ac:dyDescent="0.3">
      <c r="A22" s="1">
        <v>0.05</v>
      </c>
      <c r="B22" s="2">
        <v>4.9779999999999998E-2</v>
      </c>
      <c r="D22" s="3">
        <f t="shared" si="0"/>
        <v>-0.22000000000000491</v>
      </c>
      <c r="R22" s="1">
        <v>0.05</v>
      </c>
      <c r="S22" s="2">
        <v>4.9779999999999998E-2</v>
      </c>
      <c r="U22" s="3">
        <f t="shared" si="1"/>
        <v>-0.22000000000000491</v>
      </c>
    </row>
    <row r="23" spans="1:22" x14ac:dyDescent="0.3">
      <c r="A23" s="1">
        <v>0.02</v>
      </c>
      <c r="B23" s="2">
        <v>1.9910000000000001E-2</v>
      </c>
      <c r="D23" s="3">
        <f t="shared" si="0"/>
        <v>-8.9999999999999802E-2</v>
      </c>
      <c r="R23" s="1">
        <v>0.02</v>
      </c>
      <c r="S23" s="2">
        <v>1.9900000000000001E-2</v>
      </c>
      <c r="U23" s="3">
        <f t="shared" si="1"/>
        <v>-9.9999999999999395E-2</v>
      </c>
    </row>
    <row r="24" spans="1:22" x14ac:dyDescent="0.3">
      <c r="A24" s="1">
        <v>0.01</v>
      </c>
      <c r="B24" s="2">
        <v>9.8300000000000002E-3</v>
      </c>
      <c r="D24" s="3">
        <f t="shared" si="0"/>
        <v>-0.17</v>
      </c>
      <c r="R24" s="1">
        <v>0.01</v>
      </c>
      <c r="S24" s="2">
        <v>9.8200000000000006E-3</v>
      </c>
      <c r="U24" s="3">
        <f t="shared" si="1"/>
        <v>-0.1799999999999996</v>
      </c>
    </row>
    <row r="25" spans="1:22" x14ac:dyDescent="0.3">
      <c r="A25" s="7">
        <v>0</v>
      </c>
      <c r="B25" s="8">
        <v>1.2E-4</v>
      </c>
      <c r="C25" s="11"/>
      <c r="D25" s="12">
        <f t="shared" si="0"/>
        <v>0.12000000000000001</v>
      </c>
      <c r="E25" s="11"/>
      <c r="R25" s="7">
        <v>0</v>
      </c>
      <c r="S25" s="8">
        <v>1.2E-4</v>
      </c>
      <c r="T25" s="9"/>
      <c r="U25" s="12">
        <f t="shared" si="1"/>
        <v>0.12000000000000001</v>
      </c>
      <c r="V25" s="9"/>
    </row>
    <row r="26" spans="1:22" x14ac:dyDescent="0.3">
      <c r="A26" s="1">
        <v>-0.01</v>
      </c>
      <c r="B26" s="2">
        <v>-1.0410000000000001E-2</v>
      </c>
      <c r="D26" s="3">
        <f t="shared" si="0"/>
        <v>-0.41000000000000064</v>
      </c>
      <c r="R26" s="1">
        <v>-0.01</v>
      </c>
      <c r="S26" s="2">
        <v>-1.04E-2</v>
      </c>
      <c r="U26" s="3">
        <f t="shared" si="1"/>
        <v>-0.3999999999999993</v>
      </c>
    </row>
    <row r="27" spans="1:22" x14ac:dyDescent="0.3">
      <c r="A27" s="1">
        <v>-0.02</v>
      </c>
      <c r="B27" s="2">
        <v>-2.0478E-2</v>
      </c>
      <c r="D27" s="3">
        <f t="shared" si="0"/>
        <v>-0.47799999999999926</v>
      </c>
      <c r="R27" s="1">
        <v>-0.02</v>
      </c>
      <c r="S27" s="2">
        <v>-2.0490000000000001E-2</v>
      </c>
      <c r="U27" s="3">
        <f t="shared" si="1"/>
        <v>-0.49000000000000088</v>
      </c>
    </row>
    <row r="28" spans="1:22" x14ac:dyDescent="0.3">
      <c r="A28" s="1">
        <v>-0.05</v>
      </c>
      <c r="B28" s="2">
        <v>-5.0349999999999999E-2</v>
      </c>
      <c r="D28" s="3">
        <f t="shared" si="0"/>
        <v>-0.34999999999999615</v>
      </c>
      <c r="R28" s="1">
        <v>-0.05</v>
      </c>
      <c r="S28" s="2">
        <v>-5.0349999999999999E-2</v>
      </c>
      <c r="U28" s="3">
        <f t="shared" si="1"/>
        <v>-0.34999999999999615</v>
      </c>
    </row>
    <row r="29" spans="1:22" x14ac:dyDescent="0.3">
      <c r="A29" s="1">
        <v>-0.1</v>
      </c>
      <c r="B29" s="2">
        <v>-0.10038</v>
      </c>
      <c r="D29" s="3">
        <f t="shared" si="0"/>
        <v>-0.37999999999999146</v>
      </c>
      <c r="R29" s="1">
        <v>-0.1</v>
      </c>
      <c r="S29" s="2">
        <v>-0.10038</v>
      </c>
      <c r="U29" s="3">
        <f t="shared" si="1"/>
        <v>-0.37999999999999146</v>
      </c>
    </row>
    <row r="30" spans="1:22" x14ac:dyDescent="0.3">
      <c r="A30" s="1">
        <v>-0.25</v>
      </c>
      <c r="B30" s="2">
        <v>-0.25047000000000003</v>
      </c>
      <c r="D30" s="3">
        <f t="shared" si="0"/>
        <v>-0.47000000000002595</v>
      </c>
      <c r="R30" s="1">
        <v>-0.25</v>
      </c>
      <c r="S30" s="2">
        <v>-0.25047000000000003</v>
      </c>
      <c r="U30" s="3">
        <f t="shared" si="1"/>
        <v>-0.47000000000002595</v>
      </c>
    </row>
    <row r="31" spans="1:22" x14ac:dyDescent="0.3">
      <c r="A31" s="1">
        <v>-0.5</v>
      </c>
      <c r="B31" s="2">
        <v>-0.50022999999999995</v>
      </c>
      <c r="D31" s="3">
        <f t="shared" si="0"/>
        <v>-0.22999999999995246</v>
      </c>
      <c r="R31" s="1">
        <v>-0.5</v>
      </c>
      <c r="S31" s="2">
        <v>-0.50024000000000002</v>
      </c>
      <c r="U31" s="3">
        <f t="shared" si="1"/>
        <v>-0.24000000000001798</v>
      </c>
    </row>
    <row r="32" spans="1:22" x14ac:dyDescent="0.3">
      <c r="A32" s="1">
        <v>-0.75</v>
      </c>
      <c r="B32" s="2">
        <v>-0.75038000000000005</v>
      </c>
      <c r="D32" s="3">
        <f t="shared" si="0"/>
        <v>-0.38000000000004697</v>
      </c>
      <c r="R32" s="1">
        <v>-0.75</v>
      </c>
      <c r="S32" s="2">
        <v>-0.75039</v>
      </c>
      <c r="U32" s="3">
        <f t="shared" si="1"/>
        <v>-0.39000000000000146</v>
      </c>
    </row>
    <row r="33" spans="1:21" x14ac:dyDescent="0.3">
      <c r="A33" s="1">
        <v>-1</v>
      </c>
      <c r="B33" s="2">
        <v>-1.0001599999999999</v>
      </c>
      <c r="D33" s="3">
        <f t="shared" si="0"/>
        <v>-0.15999999999993797</v>
      </c>
      <c r="R33" s="1">
        <v>-1</v>
      </c>
      <c r="S33" s="2">
        <v>-1.00017</v>
      </c>
      <c r="U33" s="3">
        <f t="shared" si="1"/>
        <v>-0.17000000000000348</v>
      </c>
    </row>
    <row r="34" spans="1:21" x14ac:dyDescent="0.3">
      <c r="A34" s="1">
        <v>-2</v>
      </c>
      <c r="B34" s="2">
        <v>-2.0000399999999998</v>
      </c>
      <c r="D34" s="3">
        <f t="shared" si="0"/>
        <v>-3.9999999999817959E-2</v>
      </c>
      <c r="R34" s="1">
        <v>-2</v>
      </c>
      <c r="S34" s="2">
        <v>-2.0000499999999999</v>
      </c>
      <c r="U34" s="3">
        <f t="shared" si="1"/>
        <v>-4.9999999999883471E-2</v>
      </c>
    </row>
    <row r="35" spans="1:21" x14ac:dyDescent="0.3">
      <c r="A35" s="1">
        <v>-3</v>
      </c>
      <c r="B35" s="2">
        <v>-3.0003099999999998</v>
      </c>
      <c r="D35" s="3">
        <f t="shared" si="0"/>
        <v>-0.30999999999981043</v>
      </c>
      <c r="R35" s="1">
        <v>-3</v>
      </c>
      <c r="S35" s="2">
        <v>-3.0003099999999998</v>
      </c>
      <c r="U35" s="3">
        <f t="shared" si="1"/>
        <v>-0.30999999999981043</v>
      </c>
    </row>
    <row r="36" spans="1:21" x14ac:dyDescent="0.3">
      <c r="A36" s="1">
        <v>-4</v>
      </c>
      <c r="B36" s="2">
        <v>-4.0007799999999998</v>
      </c>
      <c r="D36" s="3">
        <f t="shared" si="0"/>
        <v>-0.77999999999978087</v>
      </c>
      <c r="R36" s="1">
        <v>-4</v>
      </c>
      <c r="S36" s="2">
        <v>-4.0002599999999999</v>
      </c>
      <c r="U36" s="3">
        <f t="shared" si="1"/>
        <v>-0.25999999999992696</v>
      </c>
    </row>
    <row r="37" spans="1:21" x14ac:dyDescent="0.3">
      <c r="A37" s="1">
        <v>-4.4000000000000004</v>
      </c>
      <c r="B37" s="2">
        <v>-4.4010400000000001</v>
      </c>
      <c r="D37" s="3">
        <f t="shared" si="0"/>
        <v>-1.0399999999997078</v>
      </c>
      <c r="R37" s="1">
        <v>-4.4000000000000004</v>
      </c>
      <c r="S37" s="2">
        <v>-4.4011199999999997</v>
      </c>
      <c r="U37" s="3">
        <f t="shared" si="1"/>
        <v>-1.1199999999993437</v>
      </c>
    </row>
    <row r="38" spans="1:21" x14ac:dyDescent="0.3">
      <c r="A38" s="1">
        <v>-4.5</v>
      </c>
      <c r="B38" s="2">
        <v>-4.5011400000000004</v>
      </c>
      <c r="D38" s="3">
        <f t="shared" si="0"/>
        <v>-1.1400000000003629</v>
      </c>
      <c r="R38" s="1">
        <v>-4.5</v>
      </c>
      <c r="S38" s="2">
        <v>-4.5012100000000004</v>
      </c>
      <c r="U38" s="3">
        <f t="shared" si="1"/>
        <v>-1.2100000000003774</v>
      </c>
    </row>
    <row r="39" spans="1:21" x14ac:dyDescent="0.3">
      <c r="A39" s="1">
        <v>-4.5999999999999996</v>
      </c>
      <c r="B39" s="2">
        <v>-4.6012399999999998</v>
      </c>
      <c r="D39" s="3">
        <f t="shared" si="0"/>
        <v>-1.2400000000001299</v>
      </c>
      <c r="R39" s="1">
        <v>-4.5999999999999996</v>
      </c>
      <c r="S39" s="2">
        <v>-4.6013200000000003</v>
      </c>
      <c r="U39" s="3">
        <f t="shared" si="1"/>
        <v>-1.320000000000654</v>
      </c>
    </row>
    <row r="40" spans="1:21" x14ac:dyDescent="0.3">
      <c r="A40" s="1">
        <v>-4.75</v>
      </c>
      <c r="B40" s="2">
        <v>-4.7514200000000004</v>
      </c>
      <c r="D40" s="3">
        <f t="shared" si="0"/>
        <v>-1.4200000000004209</v>
      </c>
      <c r="R40" s="1">
        <v>-4.75</v>
      </c>
      <c r="S40" s="2">
        <v>-4.7514599999999998</v>
      </c>
      <c r="U40" s="3">
        <f t="shared" si="1"/>
        <v>-1.4599999999997948</v>
      </c>
    </row>
    <row r="41" spans="1:21" x14ac:dyDescent="0.3">
      <c r="A41" s="1">
        <v>-4.9000000000000004</v>
      </c>
      <c r="B41" s="2">
        <v>-4.8996199999999996</v>
      </c>
      <c r="D41" s="3">
        <f t="shared" si="0"/>
        <v>0.3800000000007131</v>
      </c>
      <c r="R41" s="1">
        <v>-4.9000000000000004</v>
      </c>
      <c r="S41" s="2">
        <v>-4.9012399999999996</v>
      </c>
      <c r="U41" s="3">
        <f t="shared" si="1"/>
        <v>-1.2399999999992417</v>
      </c>
    </row>
    <row r="42" spans="1:21" x14ac:dyDescent="0.3">
      <c r="A42" s="1">
        <v>-5</v>
      </c>
      <c r="B42" s="2">
        <v>-4.9288999999999996</v>
      </c>
      <c r="D42" s="3">
        <f>PRODUCT(B42-A42, 1000)</f>
        <v>71.100000000000392</v>
      </c>
      <c r="R42" s="1">
        <v>-5</v>
      </c>
      <c r="S42" s="2">
        <v>-5.0013300000000003</v>
      </c>
      <c r="U42" s="3">
        <f t="shared" si="1"/>
        <v>-1.3300000000002754</v>
      </c>
    </row>
  </sheetData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6574-8C9B-4754-AD58-B3B86AFA5838}">
  <dimension ref="A1:E42"/>
  <sheetViews>
    <sheetView zoomScale="80" zoomScaleNormal="80" workbookViewId="0">
      <selection activeCell="O31" sqref="O31"/>
    </sheetView>
  </sheetViews>
  <sheetFormatPr baseColWidth="10" defaultRowHeight="14.4" x14ac:dyDescent="0.3"/>
  <cols>
    <col min="4" max="5" width="13.77734375" customWidth="1"/>
  </cols>
  <sheetData>
    <row r="1" spans="1:5" x14ac:dyDescent="0.3">
      <c r="A1" s="5" t="s">
        <v>8</v>
      </c>
      <c r="B1" s="5"/>
      <c r="C1" s="5"/>
      <c r="D1" s="5"/>
      <c r="E1" s="5"/>
    </row>
    <row r="2" spans="1:5" x14ac:dyDescent="0.3">
      <c r="A2" s="5" t="s">
        <v>11</v>
      </c>
      <c r="B2" s="5"/>
      <c r="C2" s="5"/>
      <c r="D2" s="5"/>
      <c r="E2" s="5"/>
    </row>
    <row r="4" spans="1:5" x14ac:dyDescent="0.3">
      <c r="A4" s="6" t="s">
        <v>0</v>
      </c>
      <c r="B4" s="6" t="s">
        <v>0</v>
      </c>
    </row>
    <row r="5" spans="1:5" x14ac:dyDescent="0.3">
      <c r="A5" s="6" t="s">
        <v>1</v>
      </c>
      <c r="B5" s="6" t="s">
        <v>3</v>
      </c>
    </row>
    <row r="7" spans="1:5" x14ac:dyDescent="0.3">
      <c r="A7" s="4" t="s">
        <v>0</v>
      </c>
      <c r="B7" s="4" t="s">
        <v>2</v>
      </c>
      <c r="C7" s="4"/>
      <c r="D7" s="4" t="s">
        <v>6</v>
      </c>
      <c r="E7" s="4" t="s">
        <v>7</v>
      </c>
    </row>
    <row r="8" spans="1:5" x14ac:dyDescent="0.3">
      <c r="A8" s="1">
        <v>5</v>
      </c>
      <c r="B8" s="2">
        <v>4.9458799999999998</v>
      </c>
      <c r="D8" s="3">
        <f xml:space="preserve"> PRODUCT(B8-A8, 1000)</f>
        <v>-54.120000000000168</v>
      </c>
    </row>
    <row r="9" spans="1:5" x14ac:dyDescent="0.3">
      <c r="A9" s="1">
        <v>4.9000000000000004</v>
      </c>
      <c r="B9" s="2">
        <v>4.9013499999999999</v>
      </c>
      <c r="D9" s="3">
        <f t="shared" ref="D9:D42" si="0" xml:space="preserve"> PRODUCT(B9-A9, 1000)</f>
        <v>1.3499999999995183</v>
      </c>
    </row>
    <row r="10" spans="1:5" x14ac:dyDescent="0.3">
      <c r="A10" s="1">
        <v>4.75</v>
      </c>
      <c r="B10" s="2">
        <v>4.7515799999999997</v>
      </c>
      <c r="D10" s="3">
        <f t="shared" si="0"/>
        <v>1.5799999999996928</v>
      </c>
    </row>
    <row r="11" spans="1:5" x14ac:dyDescent="0.3">
      <c r="A11" s="1">
        <v>4.5999999999999996</v>
      </c>
      <c r="B11" s="2">
        <v>4.6013999999999999</v>
      </c>
      <c r="D11" s="3">
        <f t="shared" si="0"/>
        <v>1.4000000000002899</v>
      </c>
    </row>
    <row r="12" spans="1:5" x14ac:dyDescent="0.3">
      <c r="A12" s="1">
        <v>4.5</v>
      </c>
      <c r="B12" s="2">
        <v>4.5012699999999999</v>
      </c>
      <c r="D12" s="3">
        <f t="shared" si="0"/>
        <v>1.2699999999998823</v>
      </c>
    </row>
    <row r="13" spans="1:5" x14ac:dyDescent="0.3">
      <c r="A13" s="1">
        <v>4.4000000000000004</v>
      </c>
      <c r="B13" s="2">
        <v>4.4011500000000003</v>
      </c>
      <c r="D13" s="3">
        <f t="shared" si="0"/>
        <v>1.1499999999999844</v>
      </c>
    </row>
    <row r="14" spans="1:5" x14ac:dyDescent="0.3">
      <c r="A14" s="1">
        <v>4</v>
      </c>
      <c r="B14" s="2">
        <v>4.0008100000000004</v>
      </c>
      <c r="D14" s="3">
        <f t="shared" si="0"/>
        <v>0.81000000000042149</v>
      </c>
    </row>
    <row r="15" spans="1:5" x14ac:dyDescent="0.3">
      <c r="A15" s="1">
        <v>3</v>
      </c>
      <c r="B15" s="2">
        <v>3.0000200000000001</v>
      </c>
      <c r="D15" s="3">
        <f t="shared" si="0"/>
        <v>2.0000000000131024E-2</v>
      </c>
    </row>
    <row r="16" spans="1:5" x14ac:dyDescent="0.3">
      <c r="A16" s="1">
        <v>2</v>
      </c>
      <c r="B16" s="2">
        <v>1.9996700000000001</v>
      </c>
      <c r="D16" s="3">
        <f t="shared" si="0"/>
        <v>-0.32999999999994145</v>
      </c>
    </row>
    <row r="17" spans="1:5" x14ac:dyDescent="0.3">
      <c r="A17" s="1">
        <v>1</v>
      </c>
      <c r="B17" s="2">
        <v>0.99970000000000003</v>
      </c>
      <c r="D17" s="3">
        <f t="shared" si="0"/>
        <v>-0.29999999999996696</v>
      </c>
    </row>
    <row r="18" spans="1:5" x14ac:dyDescent="0.3">
      <c r="A18" s="1">
        <v>0.75</v>
      </c>
      <c r="B18" s="2">
        <v>0.74988999999999995</v>
      </c>
      <c r="D18" s="3">
        <f t="shared" si="0"/>
        <v>-0.1100000000000545</v>
      </c>
    </row>
    <row r="19" spans="1:5" x14ac:dyDescent="0.3">
      <c r="A19" s="1">
        <v>0.5</v>
      </c>
      <c r="B19" s="2">
        <v>0.49970999999999999</v>
      </c>
      <c r="D19" s="3">
        <f t="shared" si="0"/>
        <v>-0.29000000000001247</v>
      </c>
    </row>
    <row r="20" spans="1:5" x14ac:dyDescent="0.3">
      <c r="A20" s="1">
        <v>0.25</v>
      </c>
      <c r="B20" s="2">
        <v>0.24993000000000001</v>
      </c>
      <c r="D20" s="3">
        <f t="shared" si="0"/>
        <v>-6.9999999999986739E-2</v>
      </c>
    </row>
    <row r="21" spans="1:5" x14ac:dyDescent="0.3">
      <c r="A21" s="1">
        <v>0.1</v>
      </c>
      <c r="B21" s="2">
        <v>9.9830000000000002E-2</v>
      </c>
      <c r="D21" s="3">
        <f t="shared" si="0"/>
        <v>-0.17000000000000348</v>
      </c>
    </row>
    <row r="22" spans="1:5" x14ac:dyDescent="0.3">
      <c r="A22" s="1">
        <v>0.05</v>
      </c>
      <c r="B22" s="2">
        <v>4.9790000000000001E-2</v>
      </c>
      <c r="D22" s="3">
        <f t="shared" si="0"/>
        <v>-0.21000000000000185</v>
      </c>
    </row>
    <row r="23" spans="1:5" x14ac:dyDescent="0.3">
      <c r="A23" s="1">
        <v>0.02</v>
      </c>
      <c r="B23" s="2">
        <v>1.992E-2</v>
      </c>
      <c r="D23" s="3">
        <f t="shared" si="0"/>
        <v>-8.000000000000021E-2</v>
      </c>
    </row>
    <row r="24" spans="1:5" x14ac:dyDescent="0.3">
      <c r="A24" s="1">
        <v>0.01</v>
      </c>
      <c r="B24" s="2">
        <v>9.8399999999999998E-3</v>
      </c>
      <c r="D24" s="3">
        <f t="shared" si="0"/>
        <v>-0.16000000000000042</v>
      </c>
    </row>
    <row r="25" spans="1:5" x14ac:dyDescent="0.3">
      <c r="A25" s="7">
        <v>0</v>
      </c>
      <c r="B25" s="8">
        <v>1.2999999999999999E-4</v>
      </c>
      <c r="C25" s="9"/>
      <c r="D25" s="12">
        <f t="shared" si="0"/>
        <v>0.12999999999999998</v>
      </c>
      <c r="E25" s="9"/>
    </row>
    <row r="26" spans="1:5" x14ac:dyDescent="0.3">
      <c r="A26" s="1">
        <v>-0.01</v>
      </c>
      <c r="B26" s="2">
        <v>-1.039E-2</v>
      </c>
      <c r="D26" s="3">
        <f t="shared" si="0"/>
        <v>-0.38999999999999974</v>
      </c>
    </row>
    <row r="27" spans="1:5" x14ac:dyDescent="0.3">
      <c r="A27" s="1">
        <v>-0.02</v>
      </c>
      <c r="B27" s="2">
        <v>-2.0475E-2</v>
      </c>
      <c r="D27" s="3">
        <f t="shared" si="0"/>
        <v>-0.47499999999999976</v>
      </c>
    </row>
    <row r="28" spans="1:5" x14ac:dyDescent="0.3">
      <c r="A28" s="1">
        <v>-0.05</v>
      </c>
      <c r="B28" s="2">
        <v>-5.0345000000000001E-2</v>
      </c>
      <c r="D28" s="3">
        <f t="shared" si="0"/>
        <v>-0.34499999999999809</v>
      </c>
    </row>
    <row r="29" spans="1:5" x14ac:dyDescent="0.3">
      <c r="A29" s="1">
        <v>-0.1</v>
      </c>
      <c r="B29" s="2">
        <v>-0.10037</v>
      </c>
      <c r="D29" s="3">
        <f t="shared" si="0"/>
        <v>-0.36999999999999533</v>
      </c>
    </row>
    <row r="30" spans="1:5" x14ac:dyDescent="0.3">
      <c r="A30" s="1">
        <v>-0.25</v>
      </c>
      <c r="B30" s="2">
        <v>-0.25047000000000003</v>
      </c>
      <c r="D30" s="3">
        <f t="shared" si="0"/>
        <v>-0.47000000000002595</v>
      </c>
    </row>
    <row r="31" spans="1:5" x14ac:dyDescent="0.3">
      <c r="A31" s="1">
        <v>-0.5</v>
      </c>
      <c r="B31" s="2">
        <v>-0.50024999999999997</v>
      </c>
      <c r="D31" s="3">
        <f t="shared" si="0"/>
        <v>-0.24999999999997247</v>
      </c>
    </row>
    <row r="32" spans="1:5" x14ac:dyDescent="0.3">
      <c r="A32" s="1">
        <v>-0.75</v>
      </c>
      <c r="B32" s="2">
        <v>-0.75041999999999998</v>
      </c>
      <c r="D32" s="3">
        <f t="shared" si="0"/>
        <v>-0.41999999999997595</v>
      </c>
    </row>
    <row r="33" spans="1:4" x14ac:dyDescent="0.3">
      <c r="A33" s="1">
        <v>-1</v>
      </c>
      <c r="B33" s="2">
        <v>-1.0002</v>
      </c>
      <c r="D33" s="3">
        <f t="shared" si="0"/>
        <v>-0.19999999999997797</v>
      </c>
    </row>
    <row r="34" spans="1:4" x14ac:dyDescent="0.3">
      <c r="A34" s="1">
        <v>-2</v>
      </c>
      <c r="B34" s="2">
        <v>-2.0001000000000002</v>
      </c>
      <c r="D34" s="3">
        <f t="shared" si="0"/>
        <v>-0.10000000000021103</v>
      </c>
    </row>
    <row r="35" spans="1:4" x14ac:dyDescent="0.3">
      <c r="A35" s="1">
        <v>-3</v>
      </c>
      <c r="B35" s="2">
        <v>-3.0004200000000001</v>
      </c>
      <c r="D35" s="3">
        <f t="shared" si="0"/>
        <v>-0.42000000000008697</v>
      </c>
    </row>
    <row r="36" spans="1:4" x14ac:dyDescent="0.3">
      <c r="A36" s="1">
        <v>-4</v>
      </c>
      <c r="B36" s="2">
        <v>-4.0008999999999997</v>
      </c>
      <c r="D36" s="3">
        <f t="shared" si="0"/>
        <v>-0.89999999999967883</v>
      </c>
    </row>
    <row r="37" spans="1:4" x14ac:dyDescent="0.3">
      <c r="A37" s="1">
        <v>-4.4000000000000004</v>
      </c>
      <c r="B37" s="2">
        <v>-4.4012000000000002</v>
      </c>
      <c r="D37" s="3">
        <f t="shared" si="0"/>
        <v>-1.1999999999998678</v>
      </c>
    </row>
    <row r="38" spans="1:4" x14ac:dyDescent="0.3">
      <c r="A38" s="1">
        <v>-4.5</v>
      </c>
      <c r="B38" s="2">
        <v>-4.5012999999999996</v>
      </c>
      <c r="D38" s="3">
        <f t="shared" si="0"/>
        <v>-1.2999999999996348</v>
      </c>
    </row>
    <row r="39" spans="1:4" x14ac:dyDescent="0.3">
      <c r="A39" s="1">
        <v>-4.5999999999999996</v>
      </c>
      <c r="B39" s="2">
        <v>-4.6014099999999996</v>
      </c>
      <c r="D39" s="3">
        <f t="shared" si="0"/>
        <v>-1.4099999999999113</v>
      </c>
    </row>
    <row r="40" spans="1:4" x14ac:dyDescent="0.3">
      <c r="A40" s="1">
        <v>-4.75</v>
      </c>
      <c r="B40" s="2">
        <v>-4.7515499999999999</v>
      </c>
      <c r="D40" s="3">
        <f t="shared" si="0"/>
        <v>-1.5499999999999403</v>
      </c>
    </row>
    <row r="41" spans="1:4" x14ac:dyDescent="0.3">
      <c r="A41" s="1">
        <v>-4.9000000000000004</v>
      </c>
      <c r="B41" s="2">
        <v>-4.9013400000000003</v>
      </c>
      <c r="D41" s="3">
        <f t="shared" si="0"/>
        <v>-1.3399999999998968</v>
      </c>
    </row>
    <row r="42" spans="1:4" x14ac:dyDescent="0.3">
      <c r="A42" s="1">
        <v>-5</v>
      </c>
      <c r="B42" s="2">
        <v>-4.9451999999999998</v>
      </c>
      <c r="D42" s="3">
        <f t="shared" si="0"/>
        <v>54.800000000000182</v>
      </c>
    </row>
  </sheetData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1kOhm 1%</vt:lpstr>
      <vt:lpstr>3kOhm 0.1%</vt:lpstr>
      <vt:lpstr>10kOhm 0.1%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Schule</dc:creator>
  <cp:lastModifiedBy>Simon Schule</cp:lastModifiedBy>
  <cp:lastPrinted>2020-06-23T11:48:45Z</cp:lastPrinted>
  <dcterms:created xsi:type="dcterms:W3CDTF">2020-06-08T07:35:06Z</dcterms:created>
  <dcterms:modified xsi:type="dcterms:W3CDTF">2020-06-23T15:38:51Z</dcterms:modified>
</cp:coreProperties>
</file>