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mon\Desktop\Bachelorarbeit\"/>
    </mc:Choice>
  </mc:AlternateContent>
  <xr:revisionPtr revIDLastSave="0" documentId="13_ncr:1_{8554B928-BD72-49F4-A276-770FAD118C0E}" xr6:coauthVersionLast="45" xr6:coauthVersionMax="45" xr10:uidLastSave="{00000000-0000-0000-0000-000000000000}"/>
  <bookViews>
    <workbookView xWindow="-108" yWindow="-108" windowWidth="23256" windowHeight="12576" xr2:uid="{495E718F-06B1-4643-B7E0-98C6B6E2ABE9}"/>
  </bookViews>
  <sheets>
    <sheet name="Single-ended" sheetId="3" r:id="rId1"/>
    <sheet name="Fully Differential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W10" i="3" l="1"/>
  <c r="W11" i="3"/>
  <c r="W12" i="3"/>
  <c r="W13" i="3"/>
  <c r="W14" i="3"/>
  <c r="W15" i="3"/>
  <c r="W16" i="3"/>
  <c r="W17" i="3"/>
  <c r="W18" i="3"/>
  <c r="W19" i="3"/>
  <c r="W20" i="3"/>
  <c r="W21" i="3"/>
  <c r="W22" i="3"/>
  <c r="W23" i="3"/>
  <c r="W24" i="3"/>
  <c r="W25" i="3"/>
  <c r="W26" i="3"/>
  <c r="W27" i="3"/>
  <c r="W28" i="3"/>
  <c r="W29" i="3"/>
  <c r="W30" i="3"/>
  <c r="W31" i="3"/>
  <c r="W32" i="3"/>
  <c r="W33" i="3"/>
  <c r="W34" i="3"/>
  <c r="W35" i="3"/>
  <c r="W36" i="3"/>
  <c r="W37" i="3"/>
  <c r="W38" i="3"/>
  <c r="W39" i="3"/>
  <c r="W40" i="3"/>
  <c r="W41" i="3"/>
  <c r="W42" i="3"/>
  <c r="W43" i="3"/>
  <c r="W44" i="3"/>
  <c r="W45" i="3"/>
  <c r="W46" i="3"/>
  <c r="W47" i="3"/>
  <c r="W48" i="3"/>
  <c r="W49" i="3"/>
  <c r="W50" i="3"/>
  <c r="W51" i="3"/>
  <c r="W52" i="3"/>
  <c r="W53" i="3"/>
  <c r="W9" i="3"/>
  <c r="E10" i="3" l="1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9" i="3"/>
  <c r="Q10" i="3" l="1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32" i="3"/>
  <c r="Q33" i="3"/>
  <c r="Q34" i="3"/>
  <c r="Q35" i="3"/>
  <c r="Q36" i="3"/>
  <c r="Q37" i="3"/>
  <c r="Q38" i="3"/>
  <c r="Q39" i="3"/>
  <c r="Q40" i="3"/>
  <c r="Q41" i="3"/>
  <c r="Q42" i="3"/>
  <c r="Q43" i="3"/>
  <c r="Q44" i="3"/>
  <c r="Q45" i="3"/>
  <c r="Q46" i="3"/>
  <c r="Q47" i="3"/>
  <c r="Q48" i="3"/>
  <c r="Q49" i="3"/>
  <c r="Q50" i="3"/>
  <c r="Q51" i="3"/>
  <c r="Q52" i="3"/>
  <c r="Q53" i="3"/>
  <c r="Q9" i="3"/>
  <c r="K9" i="3"/>
  <c r="K10" i="3" l="1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</calcChain>
</file>

<file path=xl/sharedStrings.xml><?xml version="1.0" encoding="utf-8"?>
<sst xmlns="http://schemas.openxmlformats.org/spreadsheetml/2006/main" count="62" uniqueCount="32">
  <si>
    <t>In_P</t>
  </si>
  <si>
    <t>In_N</t>
  </si>
  <si>
    <t>Vout P to N</t>
  </si>
  <si>
    <t>GND</t>
  </si>
  <si>
    <t>abs deviation</t>
  </si>
  <si>
    <t>VCC+</t>
  </si>
  <si>
    <t>VCC-</t>
  </si>
  <si>
    <t>Buf_P to GND</t>
  </si>
  <si>
    <t>Buf_N to GND</t>
  </si>
  <si>
    <t>Buf_P to Buf_N</t>
  </si>
  <si>
    <r>
      <rPr>
        <sz val="11"/>
        <color rgb="FFFF0000"/>
        <rFont val="Calibri"/>
        <family val="2"/>
        <scheme val="minor"/>
      </rPr>
      <t>!</t>
    </r>
    <r>
      <rPr>
        <sz val="11"/>
        <color theme="1"/>
        <rFont val="Calibri"/>
        <family val="2"/>
        <scheme val="minor"/>
      </rPr>
      <t xml:space="preserve"> measurements vary in 10uV scope</t>
    </r>
  </si>
  <si>
    <t>In P to N</t>
  </si>
  <si>
    <r>
      <t xml:space="preserve">Fully differential with </t>
    </r>
    <r>
      <rPr>
        <b/>
        <sz val="11"/>
        <color theme="1"/>
        <rFont val="Calibri"/>
        <family val="2"/>
        <scheme val="minor"/>
      </rPr>
      <t>10kOhm, 0.1%</t>
    </r>
    <r>
      <rPr>
        <sz val="11"/>
        <color theme="1"/>
        <rFont val="Calibri"/>
        <family val="2"/>
        <scheme val="minor"/>
      </rPr>
      <t xml:space="preserve"> feedback resistors</t>
    </r>
  </si>
  <si>
    <t>-5,203 V</t>
  </si>
  <si>
    <t>+5,196 V</t>
  </si>
  <si>
    <t>2,6V + V_in/2 (referenced to GND)</t>
  </si>
  <si>
    <t>2,6V - V_in/2 (referenced to GND)</t>
  </si>
  <si>
    <t>+5,1965 V</t>
  </si>
  <si>
    <t>Measurement with diff amp connected to the LT6203</t>
  </si>
  <si>
    <t>Measurement without diff amp (just LT6203)</t>
  </si>
  <si>
    <t>InP to N</t>
  </si>
  <si>
    <r>
      <t xml:space="preserve">IN P to N </t>
    </r>
    <r>
      <rPr>
        <sz val="6"/>
        <color theme="1"/>
        <rFont val="Calibri"/>
        <family val="2"/>
        <scheme val="minor"/>
      </rPr>
      <t>(after RC)</t>
    </r>
  </si>
  <si>
    <t>-5,202 V</t>
  </si>
  <si>
    <t>Single Ended vs GND</t>
  </si>
  <si>
    <t>LT1819</t>
  </si>
  <si>
    <t>Measurement without diff amp (just voltge-follower)</t>
  </si>
  <si>
    <t>AD8092</t>
  </si>
  <si>
    <t>ADA4851</t>
  </si>
  <si>
    <t>! AD8092 has maximum differential input voltage of +/-2.5V</t>
  </si>
  <si>
    <t>! Measure again with new opamp?</t>
  </si>
  <si>
    <r>
      <t xml:space="preserve">Input: 100Ohm in series 100pF to GND, </t>
    </r>
    <r>
      <rPr>
        <sz val="11"/>
        <color theme="1"/>
        <rFont val="Symbol"/>
        <family val="1"/>
        <charset val="2"/>
      </rPr>
      <t>±</t>
    </r>
    <r>
      <rPr>
        <sz val="11"/>
        <color theme="1"/>
        <rFont val="Calibri"/>
        <family val="2"/>
      </rPr>
      <t xml:space="preserve">5.2V by external power supply </t>
    </r>
  </si>
  <si>
    <t>LT6203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</si>
</sst>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\ &quot;mV&quot;"/>
    <numFmt numFmtId="166" formatCode="0.00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Symbol"/>
      <family val="1"/>
      <charset val="2"/>
    </font>
    <font>
      <sz val="11"/>
      <color theme="1"/>
      <name val="Calibri"/>
      <family val="2"/>
    </font>
    <font>
      <sz val="11"/>
      <color rgb="FFFF0000"/>
      <name val="Calibri"/>
      <family val="2"/>
      <scheme val="minor"/>
    </font>
    <font>
      <sz val="6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604F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2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0" fillId="2" borderId="0" xfId="0" applyFill="1"/>
    <xf numFmtId="0" fontId="0" fillId="3" borderId="0" xfId="0" applyFill="1"/>
    <xf numFmtId="0" fontId="0" fillId="0" borderId="1" xfId="0" applyBorder="1"/>
    <xf numFmtId="2" fontId="0" fillId="0" borderId="2" xfId="0" applyNumberFormat="1" applyFill="1" applyBorder="1"/>
    <xf numFmtId="0" fontId="0" fillId="0" borderId="2" xfId="0" applyBorder="1"/>
    <xf numFmtId="165" fontId="0" fillId="0" borderId="2" xfId="0" applyNumberFormat="1" applyBorder="1"/>
    <xf numFmtId="0" fontId="0" fillId="0" borderId="0" xfId="0" applyFill="1" applyBorder="1"/>
    <xf numFmtId="0" fontId="0" fillId="0" borderId="1" xfId="0" quotePrefix="1" applyBorder="1"/>
    <xf numFmtId="0" fontId="0" fillId="0" borderId="0" xfId="0" quotePrefix="1"/>
    <xf numFmtId="166" fontId="0" fillId="0" borderId="0" xfId="0" applyNumberFormat="1"/>
    <xf numFmtId="166" fontId="0" fillId="0" borderId="2" xfId="0" applyNumberFormat="1" applyFill="1" applyBorder="1"/>
    <xf numFmtId="0" fontId="6" fillId="0" borderId="0" xfId="0" applyFont="1"/>
    <xf numFmtId="0" fontId="0" fillId="0" borderId="0" xfId="0" applyAlignment="1">
      <alignment horizontal="right"/>
    </xf>
    <xf numFmtId="0" fontId="0" fillId="0" borderId="0" xfId="0" applyBorder="1"/>
    <xf numFmtId="2" fontId="0" fillId="0" borderId="0" xfId="0" applyNumberFormat="1" applyFill="1" applyBorder="1"/>
    <xf numFmtId="166" fontId="0" fillId="0" borderId="0" xfId="0" applyNumberFormat="1" applyFill="1" applyBorder="1"/>
    <xf numFmtId="165" fontId="0" fillId="0" borderId="0" xfId="0" applyNumberFormat="1" applyFill="1" applyBorder="1"/>
    <xf numFmtId="0" fontId="0" fillId="0" borderId="0" xfId="0" applyFill="1" applyBorder="1" applyAlignment="1"/>
    <xf numFmtId="0" fontId="0" fillId="4" borderId="0" xfId="0" applyFill="1"/>
    <xf numFmtId="0" fontId="0" fillId="3" borderId="3" xfId="0" applyFill="1" applyBorder="1" applyAlignment="1">
      <alignment horizontal="center"/>
    </xf>
    <xf numFmtId="0" fontId="0" fillId="0" borderId="1" xfId="0" applyBorder="1" applyAlignment="1">
      <alignment horizontal="center"/>
    </xf>
    <xf numFmtId="165" fontId="0" fillId="0" borderId="0" xfId="0" applyNumberFormat="1" applyFill="1"/>
    <xf numFmtId="0" fontId="0" fillId="3" borderId="4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2" borderId="7" xfId="0" applyFill="1" applyBorder="1"/>
    <xf numFmtId="0" fontId="0" fillId="2" borderId="0" xfId="0" applyFill="1" applyBorder="1"/>
    <xf numFmtId="0" fontId="0" fillId="4" borderId="8" xfId="0" applyFill="1" applyBorder="1"/>
    <xf numFmtId="2" fontId="0" fillId="0" borderId="7" xfId="0" applyNumberFormat="1" applyBorder="1"/>
    <xf numFmtId="2" fontId="0" fillId="0" borderId="9" xfId="0" applyNumberFormat="1" applyBorder="1"/>
    <xf numFmtId="0" fontId="6" fillId="0" borderId="0" xfId="0" applyFont="1" applyBorder="1"/>
    <xf numFmtId="2" fontId="0" fillId="0" borderId="11" xfId="0" applyNumberFormat="1" applyBorder="1"/>
    <xf numFmtId="0" fontId="0" fillId="0" borderId="12" xfId="0" applyBorder="1"/>
    <xf numFmtId="165" fontId="0" fillId="0" borderId="8" xfId="0" applyNumberFormat="1" applyBorder="1"/>
    <xf numFmtId="165" fontId="0" fillId="0" borderId="2" xfId="0" applyNumberFormat="1" applyFill="1" applyBorder="1"/>
    <xf numFmtId="165" fontId="0" fillId="0" borderId="10" xfId="0" applyNumberFormat="1" applyBorder="1"/>
  </cellXfs>
  <cellStyles count="1">
    <cellStyle name="Standard" xfId="0" builtinId="0"/>
  </cellStyles>
  <dxfs count="0"/>
  <tableStyles count="0" defaultTableStyle="TableStyleMedium2" defaultPivotStyle="PivotStyleLight16"/>
  <colors>
    <mruColors>
      <color rgb="FFFF604F"/>
      <color rgb="FFE65858"/>
      <color rgb="FFFF5050"/>
      <color rgb="FFF0F0F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800" b="0" i="0" baseline="0">
                <a:effectLst/>
              </a:rPr>
              <a:t>Fully differential with 2.5V common mode </a:t>
            </a:r>
            <a:endParaRPr lang="de-DE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'Fully Differential'!$A$12:$A$52</c:f>
              <c:numCache>
                <c:formatCode>0.00</c:formatCode>
                <c:ptCount val="41"/>
                <c:pt idx="0">
                  <c:v>5</c:v>
                </c:pt>
                <c:pt idx="1">
                  <c:v>4.9000000000000004</c:v>
                </c:pt>
                <c:pt idx="2">
                  <c:v>4.75</c:v>
                </c:pt>
                <c:pt idx="3">
                  <c:v>4.5999999999999996</c:v>
                </c:pt>
                <c:pt idx="4">
                  <c:v>4.5</c:v>
                </c:pt>
                <c:pt idx="5">
                  <c:v>4.4000000000000004</c:v>
                </c:pt>
                <c:pt idx="6">
                  <c:v>4</c:v>
                </c:pt>
                <c:pt idx="7">
                  <c:v>3.75</c:v>
                </c:pt>
                <c:pt idx="8">
                  <c:v>3.5</c:v>
                </c:pt>
                <c:pt idx="9">
                  <c:v>3.25</c:v>
                </c:pt>
                <c:pt idx="10">
                  <c:v>3</c:v>
                </c:pt>
                <c:pt idx="11">
                  <c:v>2</c:v>
                </c:pt>
                <c:pt idx="12">
                  <c:v>1</c:v>
                </c:pt>
                <c:pt idx="13">
                  <c:v>0.75</c:v>
                </c:pt>
                <c:pt idx="14">
                  <c:v>0.5</c:v>
                </c:pt>
                <c:pt idx="15">
                  <c:v>0.25</c:v>
                </c:pt>
                <c:pt idx="16">
                  <c:v>0.1</c:v>
                </c:pt>
                <c:pt idx="17">
                  <c:v>0.05</c:v>
                </c:pt>
                <c:pt idx="18">
                  <c:v>0.02</c:v>
                </c:pt>
                <c:pt idx="19">
                  <c:v>0.01</c:v>
                </c:pt>
                <c:pt idx="20">
                  <c:v>0</c:v>
                </c:pt>
                <c:pt idx="21">
                  <c:v>-0.01</c:v>
                </c:pt>
                <c:pt idx="22">
                  <c:v>-0.02</c:v>
                </c:pt>
                <c:pt idx="23">
                  <c:v>-0.05</c:v>
                </c:pt>
                <c:pt idx="24">
                  <c:v>-0.1</c:v>
                </c:pt>
                <c:pt idx="25">
                  <c:v>-0.25</c:v>
                </c:pt>
                <c:pt idx="26">
                  <c:v>-0.5</c:v>
                </c:pt>
                <c:pt idx="27">
                  <c:v>-0.75</c:v>
                </c:pt>
                <c:pt idx="28">
                  <c:v>-1</c:v>
                </c:pt>
                <c:pt idx="29">
                  <c:v>-2</c:v>
                </c:pt>
                <c:pt idx="30">
                  <c:v>-3</c:v>
                </c:pt>
                <c:pt idx="31">
                  <c:v>-3.25</c:v>
                </c:pt>
                <c:pt idx="32">
                  <c:v>-3.5</c:v>
                </c:pt>
                <c:pt idx="33">
                  <c:v>-3.75</c:v>
                </c:pt>
                <c:pt idx="34">
                  <c:v>-4</c:v>
                </c:pt>
                <c:pt idx="35">
                  <c:v>-4.4000000000000004</c:v>
                </c:pt>
                <c:pt idx="36">
                  <c:v>-4.5</c:v>
                </c:pt>
                <c:pt idx="37">
                  <c:v>-4.5999999999999996</c:v>
                </c:pt>
                <c:pt idx="38">
                  <c:v>-4.75</c:v>
                </c:pt>
                <c:pt idx="39">
                  <c:v>-4.9000000000000004</c:v>
                </c:pt>
                <c:pt idx="40">
                  <c:v>-5</c:v>
                </c:pt>
              </c:numCache>
            </c:numRef>
          </c:xVal>
          <c:yVal>
            <c:numRef>
              <c:f>'Fully Differential'!$B$12:$B$52</c:f>
              <c:numCache>
                <c:formatCode>0.0000</c:formatCode>
                <c:ptCount val="4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62D-4E63-8EBC-913541F1D3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3156896"/>
        <c:axId val="283162800"/>
      </c:scatterChart>
      <c:valAx>
        <c:axId val="2831568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83162800"/>
        <c:crosses val="autoZero"/>
        <c:crossBetween val="midCat"/>
      </c:valAx>
      <c:valAx>
        <c:axId val="283162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831568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de-DE" sz="1400" b="0" i="0" baseline="0">
                <a:effectLst/>
              </a:rPr>
              <a:t>absolute deviation OUT-IN</a:t>
            </a:r>
            <a:endParaRPr lang="de-DE" sz="11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'Fully Differential'!$A$12:$A$52</c:f>
              <c:numCache>
                <c:formatCode>0.00</c:formatCode>
                <c:ptCount val="41"/>
                <c:pt idx="0">
                  <c:v>5</c:v>
                </c:pt>
                <c:pt idx="1">
                  <c:v>4.9000000000000004</c:v>
                </c:pt>
                <c:pt idx="2">
                  <c:v>4.75</c:v>
                </c:pt>
                <c:pt idx="3">
                  <c:v>4.5999999999999996</c:v>
                </c:pt>
                <c:pt idx="4">
                  <c:v>4.5</c:v>
                </c:pt>
                <c:pt idx="5">
                  <c:v>4.4000000000000004</c:v>
                </c:pt>
                <c:pt idx="6">
                  <c:v>4</c:v>
                </c:pt>
                <c:pt idx="7">
                  <c:v>3.75</c:v>
                </c:pt>
                <c:pt idx="8">
                  <c:v>3.5</c:v>
                </c:pt>
                <c:pt idx="9">
                  <c:v>3.25</c:v>
                </c:pt>
                <c:pt idx="10">
                  <c:v>3</c:v>
                </c:pt>
                <c:pt idx="11">
                  <c:v>2</c:v>
                </c:pt>
                <c:pt idx="12">
                  <c:v>1</c:v>
                </c:pt>
                <c:pt idx="13">
                  <c:v>0.75</c:v>
                </c:pt>
                <c:pt idx="14">
                  <c:v>0.5</c:v>
                </c:pt>
                <c:pt idx="15">
                  <c:v>0.25</c:v>
                </c:pt>
                <c:pt idx="16">
                  <c:v>0.1</c:v>
                </c:pt>
                <c:pt idx="17">
                  <c:v>0.05</c:v>
                </c:pt>
                <c:pt idx="18">
                  <c:v>0.02</c:v>
                </c:pt>
                <c:pt idx="19">
                  <c:v>0.01</c:v>
                </c:pt>
                <c:pt idx="20">
                  <c:v>0</c:v>
                </c:pt>
                <c:pt idx="21">
                  <c:v>-0.01</c:v>
                </c:pt>
                <c:pt idx="22">
                  <c:v>-0.02</c:v>
                </c:pt>
                <c:pt idx="23">
                  <c:v>-0.05</c:v>
                </c:pt>
                <c:pt idx="24">
                  <c:v>-0.1</c:v>
                </c:pt>
                <c:pt idx="25">
                  <c:v>-0.25</c:v>
                </c:pt>
                <c:pt idx="26">
                  <c:v>-0.5</c:v>
                </c:pt>
                <c:pt idx="27">
                  <c:v>-0.75</c:v>
                </c:pt>
                <c:pt idx="28">
                  <c:v>-1</c:v>
                </c:pt>
                <c:pt idx="29">
                  <c:v>-2</c:v>
                </c:pt>
                <c:pt idx="30">
                  <c:v>-3</c:v>
                </c:pt>
                <c:pt idx="31">
                  <c:v>-3.25</c:v>
                </c:pt>
                <c:pt idx="32">
                  <c:v>-3.5</c:v>
                </c:pt>
                <c:pt idx="33">
                  <c:v>-3.75</c:v>
                </c:pt>
                <c:pt idx="34">
                  <c:v>-4</c:v>
                </c:pt>
                <c:pt idx="35">
                  <c:v>-4.4000000000000004</c:v>
                </c:pt>
                <c:pt idx="36">
                  <c:v>-4.5</c:v>
                </c:pt>
                <c:pt idx="37">
                  <c:v>-4.5999999999999996</c:v>
                </c:pt>
                <c:pt idx="38">
                  <c:v>-4.75</c:v>
                </c:pt>
                <c:pt idx="39">
                  <c:v>-4.9000000000000004</c:v>
                </c:pt>
                <c:pt idx="40">
                  <c:v>-5</c:v>
                </c:pt>
              </c:numCache>
            </c:numRef>
          </c:cat>
          <c:val>
            <c:numRef>
              <c:f>'Fully Differential'!$C$12:$C$52</c:f>
              <c:numCache>
                <c:formatCode>0.00\ "mV"</c:formatCode>
                <c:ptCount val="41"/>
              </c:numCache>
            </c:numRef>
          </c:val>
          <c:extLst>
            <c:ext xmlns:c16="http://schemas.microsoft.com/office/drawing/2014/chart" uri="{C3380CC4-5D6E-409C-BE32-E72D297353CC}">
              <c16:uniqueId val="{00000000-B7F2-4B4C-BE5A-DE2CEA09AC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1371568"/>
        <c:axId val="61371896"/>
      </c:barChart>
      <c:catAx>
        <c:axId val="61371568"/>
        <c:scaling>
          <c:orientation val="minMax"/>
        </c:scaling>
        <c:delete val="0"/>
        <c:axPos val="b"/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1371896"/>
        <c:crosses val="autoZero"/>
        <c:auto val="1"/>
        <c:lblAlgn val="ctr"/>
        <c:lblOffset val="100"/>
        <c:noMultiLvlLbl val="0"/>
      </c:catAx>
      <c:valAx>
        <c:axId val="61371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\ &quot;mV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13715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3663</xdr:colOff>
      <xdr:row>7</xdr:row>
      <xdr:rowOff>4762</xdr:rowOff>
    </xdr:from>
    <xdr:to>
      <xdr:col>22</xdr:col>
      <xdr:colOff>0</xdr:colOff>
      <xdr:row>28</xdr:row>
      <xdr:rowOff>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69AB6E7C-D5CA-49A3-A996-28AE0E1F04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787852</xdr:colOff>
      <xdr:row>29</xdr:row>
      <xdr:rowOff>3402</xdr:rowOff>
    </xdr:from>
    <xdr:to>
      <xdr:col>19</xdr:col>
      <xdr:colOff>786492</xdr:colOff>
      <xdr:row>45</xdr:row>
      <xdr:rowOff>5443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BAC00F00-8D3A-4800-8E6D-370ECB83B3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C6574-8C9B-4754-AD58-B3B86AFA5838}">
  <dimension ref="A1:W55"/>
  <sheetViews>
    <sheetView tabSelected="1" zoomScale="80" zoomScaleNormal="80" workbookViewId="0">
      <selection activeCell="R38" sqref="R38"/>
    </sheetView>
  </sheetViews>
  <sheetFormatPr baseColWidth="10" defaultRowHeight="14.4" x14ac:dyDescent="0.3"/>
  <cols>
    <col min="2" max="6" width="13.77734375" customWidth="1"/>
    <col min="7" max="7" width="11.5546875" customWidth="1"/>
    <col min="8" max="12" width="13.77734375" customWidth="1"/>
    <col min="14" max="17" width="13.77734375" customWidth="1"/>
    <col min="20" max="23" width="13.77734375" customWidth="1"/>
  </cols>
  <sheetData>
    <row r="1" spans="1:23" x14ac:dyDescent="0.3">
      <c r="A1" s="5" t="s">
        <v>23</v>
      </c>
      <c r="B1" s="5"/>
      <c r="C1" s="5"/>
      <c r="D1" s="5"/>
      <c r="E1" s="5"/>
      <c r="G1" s="6" t="s">
        <v>5</v>
      </c>
      <c r="H1" s="11" t="s">
        <v>14</v>
      </c>
    </row>
    <row r="2" spans="1:23" x14ac:dyDescent="0.3">
      <c r="A2" s="5" t="s">
        <v>30</v>
      </c>
      <c r="B2" s="5"/>
      <c r="C2" s="5"/>
      <c r="D2" s="5"/>
      <c r="E2" s="5"/>
      <c r="G2" s="6" t="s">
        <v>6</v>
      </c>
      <c r="H2" s="11" t="s">
        <v>22</v>
      </c>
      <c r="I2" s="12"/>
      <c r="M2" t="s">
        <v>10</v>
      </c>
    </row>
    <row r="3" spans="1:23" x14ac:dyDescent="0.3">
      <c r="A3" s="5" t="s">
        <v>25</v>
      </c>
      <c r="B3" s="5"/>
      <c r="C3" s="5"/>
      <c r="D3" s="5"/>
      <c r="E3" s="5"/>
    </row>
    <row r="4" spans="1:23" x14ac:dyDescent="0.3">
      <c r="A4" s="6" t="s">
        <v>0</v>
      </c>
      <c r="B4" s="6" t="s">
        <v>0</v>
      </c>
    </row>
    <row r="5" spans="1:23" x14ac:dyDescent="0.3">
      <c r="A5" s="6" t="s">
        <v>1</v>
      </c>
      <c r="B5" s="6" t="s">
        <v>3</v>
      </c>
    </row>
    <row r="6" spans="1:23" ht="15" thickBot="1" x14ac:dyDescent="0.35"/>
    <row r="7" spans="1:23" x14ac:dyDescent="0.3">
      <c r="A7" s="23" t="s">
        <v>24</v>
      </c>
      <c r="B7" s="23"/>
      <c r="C7" s="23"/>
      <c r="D7" s="23"/>
      <c r="E7" s="23"/>
      <c r="G7" s="23" t="s">
        <v>26</v>
      </c>
      <c r="H7" s="23"/>
      <c r="I7" s="23"/>
      <c r="J7" s="23"/>
      <c r="K7" s="23"/>
      <c r="M7" s="23" t="s">
        <v>27</v>
      </c>
      <c r="N7" s="23"/>
      <c r="O7" s="23"/>
      <c r="P7" s="23"/>
      <c r="Q7" s="23"/>
      <c r="S7" s="26" t="s">
        <v>31</v>
      </c>
      <c r="T7" s="27"/>
      <c r="U7" s="27"/>
      <c r="V7" s="27"/>
      <c r="W7" s="28"/>
    </row>
    <row r="8" spans="1:23" x14ac:dyDescent="0.3">
      <c r="A8" s="4" t="s">
        <v>0</v>
      </c>
      <c r="B8" s="4" t="s">
        <v>7</v>
      </c>
      <c r="C8" s="4" t="s">
        <v>8</v>
      </c>
      <c r="D8" s="4" t="s">
        <v>9</v>
      </c>
      <c r="E8" s="22" t="s">
        <v>4</v>
      </c>
      <c r="F8" s="21"/>
      <c r="G8" s="4" t="s">
        <v>0</v>
      </c>
      <c r="H8" s="4" t="s">
        <v>7</v>
      </c>
      <c r="I8" s="4" t="s">
        <v>8</v>
      </c>
      <c r="J8" s="4" t="s">
        <v>9</v>
      </c>
      <c r="K8" s="22" t="s">
        <v>4</v>
      </c>
      <c r="M8" s="4" t="s">
        <v>0</v>
      </c>
      <c r="N8" s="4" t="s">
        <v>7</v>
      </c>
      <c r="O8" s="4" t="s">
        <v>8</v>
      </c>
      <c r="P8" s="4" t="s">
        <v>9</v>
      </c>
      <c r="Q8" s="22" t="s">
        <v>4</v>
      </c>
      <c r="S8" s="29" t="s">
        <v>0</v>
      </c>
      <c r="T8" s="30" t="s">
        <v>7</v>
      </c>
      <c r="U8" s="30" t="s">
        <v>8</v>
      </c>
      <c r="V8" s="30" t="s">
        <v>9</v>
      </c>
      <c r="W8" s="31" t="s">
        <v>4</v>
      </c>
    </row>
    <row r="9" spans="1:23" x14ac:dyDescent="0.3">
      <c r="A9" s="1">
        <v>5.2</v>
      </c>
      <c r="B9">
        <v>4.6429999999999998</v>
      </c>
      <c r="C9" s="17">
        <v>3.6999999999999998E-5</v>
      </c>
      <c r="D9">
        <v>4.6429</v>
      </c>
      <c r="E9" s="25">
        <f>PRODUCT(D9-A9,1000)</f>
        <v>-557.10000000000014</v>
      </c>
      <c r="F9" s="10"/>
      <c r="G9" s="1">
        <v>5.2</v>
      </c>
      <c r="H9">
        <v>4.5563000000000002</v>
      </c>
      <c r="I9" s="17">
        <v>3.68E-4</v>
      </c>
      <c r="J9">
        <v>4.5559000000000003</v>
      </c>
      <c r="K9" s="3">
        <f>PRODUCT(J9-G9, 1000)</f>
        <v>-644.09999999999991</v>
      </c>
      <c r="M9" s="1">
        <v>5.2</v>
      </c>
      <c r="N9">
        <v>3.6049000000000002</v>
      </c>
      <c r="O9" s="17">
        <v>-5.5099999999999995E-4</v>
      </c>
      <c r="P9" s="10">
        <v>3.6046999999999998</v>
      </c>
      <c r="Q9" s="3">
        <f>PRODUCT(P9-M9,1000)</f>
        <v>-1595.3000000000004</v>
      </c>
      <c r="S9" s="32">
        <v>5.2</v>
      </c>
      <c r="T9" s="17">
        <v>5.1909000000000001</v>
      </c>
      <c r="U9" s="17">
        <v>8.0199999999999998E-4</v>
      </c>
      <c r="V9" s="17">
        <v>5.19</v>
      </c>
      <c r="W9" s="37">
        <f>PRODUCT(V9-S9,1000)</f>
        <v>-9.9999999999997868</v>
      </c>
    </row>
    <row r="10" spans="1:23" x14ac:dyDescent="0.3">
      <c r="A10" s="1">
        <v>5.0999999999999996</v>
      </c>
      <c r="B10">
        <v>4.6429999999999998</v>
      </c>
      <c r="C10" s="17">
        <v>3.8000000000000002E-5</v>
      </c>
      <c r="D10">
        <v>4.649</v>
      </c>
      <c r="E10" s="25">
        <f t="shared" ref="E10:E53" si="0">PRODUCT(D10-A10,1000)</f>
        <v>-450.9999999999996</v>
      </c>
      <c r="F10" s="10"/>
      <c r="G10" s="1">
        <v>5.0999999999999996</v>
      </c>
      <c r="H10">
        <v>4.5563000000000002</v>
      </c>
      <c r="I10" s="17">
        <v>3.6999999999999999E-4</v>
      </c>
      <c r="J10">
        <v>4.5559000000000003</v>
      </c>
      <c r="K10" s="3">
        <f t="shared" ref="K10:K53" si="1">PRODUCT(J10-G10, 1000)</f>
        <v>-544.09999999999934</v>
      </c>
      <c r="M10" s="1">
        <v>5.0999999999999996</v>
      </c>
      <c r="N10">
        <v>3.6048</v>
      </c>
      <c r="O10" s="17">
        <v>-5.5000000000000003E-4</v>
      </c>
      <c r="P10" s="10">
        <v>3.6053999999999999</v>
      </c>
      <c r="Q10" s="3">
        <f t="shared" ref="Q10:Q53" si="2">PRODUCT(P10-M10,1000)</f>
        <v>-1494.5999999999997</v>
      </c>
      <c r="S10" s="32">
        <v>5.0999999999999996</v>
      </c>
      <c r="T10" s="17">
        <v>5.1021999999999998</v>
      </c>
      <c r="U10" s="17">
        <v>8.0000000000000004E-4</v>
      </c>
      <c r="V10" s="17">
        <v>5.1013999999999999</v>
      </c>
      <c r="W10" s="37">
        <f t="shared" ref="W10:W53" si="3">PRODUCT(V10-S10,1000)</f>
        <v>1.4000000000002899</v>
      </c>
    </row>
    <row r="11" spans="1:23" x14ac:dyDescent="0.3">
      <c r="A11" s="1">
        <v>5</v>
      </c>
      <c r="B11">
        <v>4.6429999999999998</v>
      </c>
      <c r="C11" s="17">
        <v>3.6999999999999998E-5</v>
      </c>
      <c r="D11" s="10">
        <v>4.6429499999999999</v>
      </c>
      <c r="E11" s="25">
        <f t="shared" si="0"/>
        <v>-357.05000000000007</v>
      </c>
      <c r="F11" s="10"/>
      <c r="G11" s="1">
        <v>5</v>
      </c>
      <c r="H11" s="10">
        <v>4.5563000000000002</v>
      </c>
      <c r="I11" s="17">
        <v>3.6200000000000002E-4</v>
      </c>
      <c r="J11" s="10">
        <v>4.5559000000000003</v>
      </c>
      <c r="K11" s="3">
        <f t="shared" si="1"/>
        <v>-444.09999999999974</v>
      </c>
      <c r="M11" s="1">
        <v>5</v>
      </c>
      <c r="N11" s="10">
        <v>3.6036999999999999</v>
      </c>
      <c r="O11" s="17">
        <v>-5.5500000000000005E-4</v>
      </c>
      <c r="P11" s="10">
        <v>3.6048</v>
      </c>
      <c r="Q11" s="3">
        <f t="shared" si="2"/>
        <v>-1395.2</v>
      </c>
      <c r="S11" s="32">
        <v>5</v>
      </c>
      <c r="T11" s="17">
        <v>5.0021000000000004</v>
      </c>
      <c r="U11" s="17">
        <v>8.0000000000000004E-4</v>
      </c>
      <c r="V11" s="17">
        <v>5.0012999999999996</v>
      </c>
      <c r="W11" s="37">
        <f t="shared" si="3"/>
        <v>1.2999999999996348</v>
      </c>
    </row>
    <row r="12" spans="1:23" x14ac:dyDescent="0.3">
      <c r="A12" s="1">
        <v>4.9000000000000004</v>
      </c>
      <c r="B12">
        <v>4.6430999999999996</v>
      </c>
      <c r="C12" s="17">
        <v>4.1999999999999998E-5</v>
      </c>
      <c r="D12" s="10">
        <v>4.6491600000000002</v>
      </c>
      <c r="E12" s="25">
        <f t="shared" si="0"/>
        <v>-250.84000000000017</v>
      </c>
      <c r="F12" s="10"/>
      <c r="G12" s="1">
        <v>4.9000000000000004</v>
      </c>
      <c r="H12" s="10">
        <v>4.5556400000000004</v>
      </c>
      <c r="I12" s="17">
        <v>3.6600000000000001E-4</v>
      </c>
      <c r="J12" s="10">
        <v>4.556</v>
      </c>
      <c r="K12" s="3">
        <f t="shared" si="1"/>
        <v>-344.00000000000028</v>
      </c>
      <c r="M12" s="1">
        <v>4.9000000000000004</v>
      </c>
      <c r="N12" s="10">
        <v>3.6034000000000002</v>
      </c>
      <c r="O12" s="17">
        <v>-5.5699999999999999E-4</v>
      </c>
      <c r="P12" s="10">
        <v>3.6038000000000001</v>
      </c>
      <c r="Q12" s="3">
        <f t="shared" si="2"/>
        <v>-1296.2000000000003</v>
      </c>
      <c r="S12" s="32">
        <v>4.9000000000000004</v>
      </c>
      <c r="T12" s="17">
        <v>4.9020000000000001</v>
      </c>
      <c r="U12" s="17">
        <v>8.0000000000000004E-4</v>
      </c>
      <c r="V12" s="17">
        <v>4.9012000000000002</v>
      </c>
      <c r="W12" s="37">
        <f t="shared" si="3"/>
        <v>1.1999999999998678</v>
      </c>
    </row>
    <row r="13" spans="1:23" x14ac:dyDescent="0.3">
      <c r="A13" s="1">
        <v>4.75</v>
      </c>
      <c r="B13">
        <v>4.6433</v>
      </c>
      <c r="C13" s="17">
        <v>4.1E-5</v>
      </c>
      <c r="D13" s="16">
        <v>4.6430999999999996</v>
      </c>
      <c r="E13" s="25">
        <f t="shared" si="0"/>
        <v>-106.90000000000043</v>
      </c>
      <c r="F13" s="10"/>
      <c r="G13" s="1">
        <v>4.75</v>
      </c>
      <c r="H13" s="10">
        <v>4.5563000000000002</v>
      </c>
      <c r="I13" s="17">
        <v>3.6299999999999999E-4</v>
      </c>
      <c r="J13" s="16">
        <v>4.5559000000000003</v>
      </c>
      <c r="K13" s="3">
        <f t="shared" si="1"/>
        <v>-194.09999999999971</v>
      </c>
      <c r="M13" s="1">
        <v>4.75</v>
      </c>
      <c r="N13" s="10">
        <v>3.6036000000000001</v>
      </c>
      <c r="O13" s="17">
        <v>-5.4299999999999997E-4</v>
      </c>
      <c r="P13" s="16">
        <v>3.6034999999999999</v>
      </c>
      <c r="Q13" s="3">
        <f t="shared" si="2"/>
        <v>-1146.5</v>
      </c>
      <c r="S13" s="32">
        <v>4.75</v>
      </c>
      <c r="T13" s="17">
        <v>4.7522000000000002</v>
      </c>
      <c r="U13" s="17">
        <v>8.0000000000000004E-4</v>
      </c>
      <c r="V13" s="17">
        <v>4.7514000000000003</v>
      </c>
      <c r="W13" s="37">
        <f t="shared" si="3"/>
        <v>1.4000000000002899</v>
      </c>
    </row>
    <row r="14" spans="1:23" x14ac:dyDescent="0.3">
      <c r="A14" s="1">
        <v>4.5999999999999996</v>
      </c>
      <c r="B14">
        <v>4.5511999999999997</v>
      </c>
      <c r="C14" s="17">
        <v>4.1E-5</v>
      </c>
      <c r="D14">
        <v>4.5515999999999996</v>
      </c>
      <c r="E14" s="25">
        <f t="shared" si="0"/>
        <v>-48.4</v>
      </c>
      <c r="F14" s="10"/>
      <c r="G14" s="1">
        <v>4.5999999999999996</v>
      </c>
      <c r="H14" s="10">
        <v>4.5506000000000002</v>
      </c>
      <c r="I14" s="17">
        <v>3.6000000000000002E-4</v>
      </c>
      <c r="J14">
        <v>4.5501800000000001</v>
      </c>
      <c r="K14" s="3">
        <f t="shared" si="1"/>
        <v>-49.819999999999531</v>
      </c>
      <c r="M14" s="1">
        <v>4.5999999999999996</v>
      </c>
      <c r="N14" s="10">
        <v>3.6032000000000002</v>
      </c>
      <c r="O14" s="17">
        <v>-5.4299999999999997E-4</v>
      </c>
      <c r="P14" s="10">
        <v>3.6038000000000001</v>
      </c>
      <c r="Q14" s="3">
        <f t="shared" si="2"/>
        <v>-996.19999999999948</v>
      </c>
      <c r="S14" s="32">
        <v>4.5999999999999996</v>
      </c>
      <c r="T14" s="17">
        <v>4.6021000000000001</v>
      </c>
      <c r="U14" s="17">
        <v>8.0000000000000004E-4</v>
      </c>
      <c r="V14" s="17">
        <v>4.6013000000000002</v>
      </c>
      <c r="W14" s="37">
        <f t="shared" si="3"/>
        <v>1.300000000000523</v>
      </c>
    </row>
    <row r="15" spans="1:23" x14ac:dyDescent="0.3">
      <c r="A15" s="1">
        <v>4.5</v>
      </c>
      <c r="B15">
        <v>4.4659000000000004</v>
      </c>
      <c r="C15" s="17">
        <v>4.6E-5</v>
      </c>
      <c r="D15">
        <v>4.4657799999999996</v>
      </c>
      <c r="E15" s="25">
        <f t="shared" si="0"/>
        <v>-34.220000000000361</v>
      </c>
      <c r="F15" s="10"/>
      <c r="G15" s="1">
        <v>4.5</v>
      </c>
      <c r="H15" s="10">
        <v>4.4934000000000003</v>
      </c>
      <c r="I15" s="17">
        <v>3.5399999999999999E-4</v>
      </c>
      <c r="J15">
        <v>4.4930000000000003</v>
      </c>
      <c r="K15" s="3">
        <f t="shared" si="1"/>
        <v>-6.9999999999996732</v>
      </c>
      <c r="M15" s="1">
        <v>4.5</v>
      </c>
      <c r="N15" s="10">
        <v>3.6030000000000002</v>
      </c>
      <c r="O15" s="17">
        <v>-5.44E-4</v>
      </c>
      <c r="P15" s="10">
        <v>3.6038000000000001</v>
      </c>
      <c r="Q15" s="3">
        <f t="shared" si="2"/>
        <v>-896.19999999999993</v>
      </c>
      <c r="S15" s="32">
        <v>4.5</v>
      </c>
      <c r="T15" s="17">
        <v>4.5019999999999998</v>
      </c>
      <c r="U15" s="17">
        <v>8.0000000000000004E-4</v>
      </c>
      <c r="V15" s="17">
        <v>4.5011999999999999</v>
      </c>
      <c r="W15" s="37">
        <f t="shared" si="3"/>
        <v>1.1999999999998678</v>
      </c>
    </row>
    <row r="16" spans="1:23" x14ac:dyDescent="0.3">
      <c r="A16" s="1">
        <v>4.4000000000000004</v>
      </c>
      <c r="B16">
        <v>4.3806000000000003</v>
      </c>
      <c r="C16" s="17">
        <v>6.0000000000000002E-5</v>
      </c>
      <c r="D16">
        <v>4.3805199999999997</v>
      </c>
      <c r="E16" s="25">
        <f t="shared" si="0"/>
        <v>-19.480000000000608</v>
      </c>
      <c r="F16" s="10"/>
      <c r="G16" s="1">
        <v>4.4000000000000004</v>
      </c>
      <c r="H16">
        <v>4.3975</v>
      </c>
      <c r="I16" s="17">
        <v>3.5799999999999997E-4</v>
      </c>
      <c r="J16">
        <v>4.3970000000000002</v>
      </c>
      <c r="K16" s="3">
        <f t="shared" si="1"/>
        <v>-3.0000000000001137</v>
      </c>
      <c r="M16" s="1">
        <v>4.4000000000000004</v>
      </c>
      <c r="N16">
        <v>3.6030000000000002</v>
      </c>
      <c r="O16" s="17">
        <v>-5.4299999999999997E-4</v>
      </c>
      <c r="P16" s="10">
        <v>3.6034999999999999</v>
      </c>
      <c r="Q16" s="3">
        <f t="shared" si="2"/>
        <v>-796.50000000000045</v>
      </c>
      <c r="S16" s="32">
        <v>4.4000000000000004</v>
      </c>
      <c r="T16" s="17">
        <v>4.4019000000000004</v>
      </c>
      <c r="U16" s="17">
        <v>8.0000000000000004E-4</v>
      </c>
      <c r="V16" s="17">
        <v>4.4010999999999996</v>
      </c>
      <c r="W16" s="37">
        <f t="shared" si="3"/>
        <v>1.0999999999992127</v>
      </c>
    </row>
    <row r="17" spans="1:23" x14ac:dyDescent="0.3">
      <c r="A17" s="1">
        <v>4</v>
      </c>
      <c r="B17">
        <v>3.9981</v>
      </c>
      <c r="C17" s="17">
        <v>9.1000000000000003E-5</v>
      </c>
      <c r="D17">
        <v>3.99797</v>
      </c>
      <c r="E17" s="25">
        <f t="shared" si="0"/>
        <v>-2.0299999999999763</v>
      </c>
      <c r="F17" s="10"/>
      <c r="G17" s="1">
        <v>4</v>
      </c>
      <c r="H17">
        <v>3.9988999999999999</v>
      </c>
      <c r="I17" s="17">
        <v>3.6000000000000002E-4</v>
      </c>
      <c r="J17">
        <v>3.9984600000000001</v>
      </c>
      <c r="K17" s="3">
        <f t="shared" si="1"/>
        <v>-1.5399999999998748</v>
      </c>
      <c r="M17" s="1">
        <v>4</v>
      </c>
      <c r="N17">
        <v>3.6036999999999999</v>
      </c>
      <c r="O17" s="17">
        <v>-5.5999999999999995E-4</v>
      </c>
      <c r="P17" s="10">
        <v>3.6040000000000001</v>
      </c>
      <c r="Q17" s="3">
        <f t="shared" si="2"/>
        <v>-395.99999999999989</v>
      </c>
      <c r="S17" s="32">
        <v>4</v>
      </c>
      <c r="T17" s="17">
        <v>4.0008999999999997</v>
      </c>
      <c r="U17" s="17">
        <v>8.0500000000000005E-4</v>
      </c>
      <c r="V17" s="17">
        <v>4.0000999999999998</v>
      </c>
      <c r="W17" s="37">
        <f t="shared" si="3"/>
        <v>9.9999999999766942E-2</v>
      </c>
    </row>
    <row r="18" spans="1:23" x14ac:dyDescent="0.3">
      <c r="A18" s="1">
        <v>3.75</v>
      </c>
      <c r="B18">
        <v>3.7483</v>
      </c>
      <c r="C18" s="17">
        <v>9.1000000000000003E-5</v>
      </c>
      <c r="D18">
        <v>3.7482199999999999</v>
      </c>
      <c r="E18" s="25">
        <f t="shared" si="0"/>
        <v>-1.7800000000001148</v>
      </c>
      <c r="F18" s="10"/>
      <c r="G18" s="1">
        <v>3.75</v>
      </c>
      <c r="H18">
        <v>3.7490000000000001</v>
      </c>
      <c r="I18" s="17">
        <v>3.8499999999999998E-4</v>
      </c>
      <c r="J18">
        <v>3.7486299999999999</v>
      </c>
      <c r="K18" s="3">
        <f t="shared" si="1"/>
        <v>-1.3700000000000934</v>
      </c>
      <c r="M18" s="1">
        <v>3.75</v>
      </c>
      <c r="N18">
        <v>3.6002999999999998</v>
      </c>
      <c r="O18" s="17">
        <v>-5.5500000000000005E-4</v>
      </c>
      <c r="P18" s="10">
        <v>3.601</v>
      </c>
      <c r="Q18" s="3">
        <f t="shared" si="2"/>
        <v>-149.00000000000003</v>
      </c>
      <c r="S18" s="32">
        <v>3.75</v>
      </c>
      <c r="T18" s="17">
        <v>3.7509000000000001</v>
      </c>
      <c r="U18" s="17">
        <v>8.0099999999999995E-4</v>
      </c>
      <c r="V18" s="17">
        <v>3.7501000000000002</v>
      </c>
      <c r="W18" s="37">
        <f t="shared" si="3"/>
        <v>0.10000000000021103</v>
      </c>
    </row>
    <row r="19" spans="1:23" x14ac:dyDescent="0.3">
      <c r="A19" s="1">
        <v>3.5</v>
      </c>
      <c r="B19">
        <v>3.4986000000000002</v>
      </c>
      <c r="C19" s="17">
        <v>9.0000000000000006E-5</v>
      </c>
      <c r="D19">
        <v>3.4984600000000001</v>
      </c>
      <c r="E19" s="25">
        <f t="shared" si="0"/>
        <v>-1.5399999999998748</v>
      </c>
      <c r="F19" s="10"/>
      <c r="G19" s="1">
        <v>3.5</v>
      </c>
      <c r="H19">
        <v>3.4992000000000001</v>
      </c>
      <c r="I19" s="17">
        <v>3.8099999999999999E-4</v>
      </c>
      <c r="J19">
        <v>3.4987499999999998</v>
      </c>
      <c r="K19" s="3">
        <f t="shared" si="1"/>
        <v>-1.2500000000001954</v>
      </c>
      <c r="M19" s="1">
        <v>3.5</v>
      </c>
      <c r="N19">
        <v>3.4916999999999998</v>
      </c>
      <c r="O19" s="17">
        <v>-5.5500000000000005E-4</v>
      </c>
      <c r="P19" s="10">
        <v>3.4922300000000002</v>
      </c>
      <c r="Q19" s="3">
        <f t="shared" si="2"/>
        <v>-7.7699999999998326</v>
      </c>
      <c r="S19" s="32">
        <v>3.5</v>
      </c>
      <c r="T19" s="17">
        <v>3.5011000000000001</v>
      </c>
      <c r="U19" s="17">
        <v>8.0099999999999995E-4</v>
      </c>
      <c r="V19" s="17">
        <v>3.5003000000000002</v>
      </c>
      <c r="W19" s="37">
        <f t="shared" si="3"/>
        <v>0.300000000000189</v>
      </c>
    </row>
    <row r="20" spans="1:23" x14ac:dyDescent="0.3">
      <c r="A20" s="1">
        <v>3.25</v>
      </c>
      <c r="B20">
        <v>3.2484000000000002</v>
      </c>
      <c r="C20" s="17">
        <v>8.2000000000000001E-5</v>
      </c>
      <c r="D20">
        <v>3.2483300000000002</v>
      </c>
      <c r="E20" s="25">
        <f t="shared" si="0"/>
        <v>-1.6699999999998383</v>
      </c>
      <c r="F20" s="10"/>
      <c r="G20" s="1">
        <v>3.25</v>
      </c>
      <c r="H20">
        <v>3.2488999999999999</v>
      </c>
      <c r="I20" s="17">
        <v>3.48E-4</v>
      </c>
      <c r="J20">
        <v>3.2484999999999999</v>
      </c>
      <c r="K20" s="3">
        <f t="shared" si="1"/>
        <v>-1.5000000000000568</v>
      </c>
      <c r="M20" s="1">
        <v>3.25</v>
      </c>
      <c r="N20">
        <v>3.2486999999999999</v>
      </c>
      <c r="O20" s="17">
        <v>-5.3799999999999996E-4</v>
      </c>
      <c r="P20" s="10">
        <v>3.2491599999999998</v>
      </c>
      <c r="Q20" s="3">
        <f t="shared" si="2"/>
        <v>-0.84000000000017394</v>
      </c>
      <c r="S20" s="32">
        <v>3.25</v>
      </c>
      <c r="T20" s="17">
        <v>3.2507999999999999</v>
      </c>
      <c r="U20" s="17">
        <v>8.0099999999999995E-4</v>
      </c>
      <c r="V20" s="17">
        <v>3.25</v>
      </c>
      <c r="W20" s="37">
        <f t="shared" si="3"/>
        <v>0</v>
      </c>
    </row>
    <row r="21" spans="1:23" x14ac:dyDescent="0.3">
      <c r="A21" s="1">
        <v>3</v>
      </c>
      <c r="B21">
        <v>2.9986999999999999</v>
      </c>
      <c r="C21" s="17">
        <v>8.0000000000000007E-5</v>
      </c>
      <c r="D21">
        <v>2.9985400000000002</v>
      </c>
      <c r="E21" s="25">
        <f t="shared" si="0"/>
        <v>-1.4599999999997948</v>
      </c>
      <c r="F21" s="10"/>
      <c r="G21" s="1">
        <v>3</v>
      </c>
      <c r="H21">
        <v>2.9990000000000001</v>
      </c>
      <c r="I21" s="17">
        <v>3.4900000000000003E-4</v>
      </c>
      <c r="J21">
        <v>2.9986299999999999</v>
      </c>
      <c r="K21" s="3">
        <f t="shared" si="1"/>
        <v>-1.3700000000000934</v>
      </c>
      <c r="M21" s="1">
        <v>3</v>
      </c>
      <c r="N21">
        <v>2.9992999999999999</v>
      </c>
      <c r="O21" s="17">
        <v>-5.3499999999999999E-4</v>
      </c>
      <c r="P21" s="10">
        <v>2.9998300000000002</v>
      </c>
      <c r="Q21" s="3">
        <f t="shared" si="2"/>
        <v>-0.16999999999978144</v>
      </c>
      <c r="S21" s="32">
        <v>3</v>
      </c>
      <c r="T21" s="17">
        <v>3.0009000000000001</v>
      </c>
      <c r="U21" s="17">
        <v>8.0000000000000004E-4</v>
      </c>
      <c r="V21" s="17">
        <v>3.0001000000000002</v>
      </c>
      <c r="W21" s="37">
        <f t="shared" si="3"/>
        <v>0.10000000000021103</v>
      </c>
    </row>
    <row r="22" spans="1:23" x14ac:dyDescent="0.3">
      <c r="A22" s="1">
        <v>2</v>
      </c>
      <c r="B22">
        <v>1.9986999999999999</v>
      </c>
      <c r="C22" s="17">
        <v>8.6000000000000003E-5</v>
      </c>
      <c r="D22">
        <v>1.99861</v>
      </c>
      <c r="E22" s="25">
        <f t="shared" si="0"/>
        <v>-1.3900000000000023</v>
      </c>
      <c r="F22" s="10"/>
      <c r="G22" s="1">
        <v>2</v>
      </c>
      <c r="H22">
        <v>1.9986999999999999</v>
      </c>
      <c r="I22" s="17">
        <v>3.5100000000000002E-4</v>
      </c>
      <c r="J22">
        <v>1.9983599999999999</v>
      </c>
      <c r="K22" s="3">
        <f t="shared" si="1"/>
        <v>-1.6400000000000858</v>
      </c>
      <c r="M22" s="1">
        <v>2</v>
      </c>
      <c r="N22">
        <v>1.9990000000000001</v>
      </c>
      <c r="O22" s="17">
        <v>-5.5500000000000005E-4</v>
      </c>
      <c r="P22" s="10">
        <v>1.9995499999999999</v>
      </c>
      <c r="Q22" s="3">
        <f t="shared" si="2"/>
        <v>-0.45000000000006146</v>
      </c>
      <c r="S22" s="32">
        <v>2</v>
      </c>
      <c r="T22" s="17">
        <v>2.0005999999999999</v>
      </c>
      <c r="U22" s="17">
        <v>8.0000000000000004E-4</v>
      </c>
      <c r="V22" s="17">
        <v>1.9998</v>
      </c>
      <c r="W22" s="37">
        <f t="shared" si="3"/>
        <v>-0.19999999999997797</v>
      </c>
    </row>
    <row r="23" spans="1:23" x14ac:dyDescent="0.3">
      <c r="A23" s="1">
        <v>1</v>
      </c>
      <c r="B23">
        <v>0.99917999999999996</v>
      </c>
      <c r="C23" s="17">
        <v>8.5000000000000006E-5</v>
      </c>
      <c r="D23">
        <v>0.99907999999999997</v>
      </c>
      <c r="E23" s="25">
        <f t="shared" si="0"/>
        <v>-0.9200000000000319</v>
      </c>
      <c r="F23" s="10"/>
      <c r="G23" s="1">
        <v>1</v>
      </c>
      <c r="H23">
        <v>0.99890999999999996</v>
      </c>
      <c r="I23" s="17">
        <v>3.5199999999999999E-4</v>
      </c>
      <c r="J23">
        <v>0.99848999999999999</v>
      </c>
      <c r="K23" s="3">
        <f t="shared" si="1"/>
        <v>-1.5100000000000113</v>
      </c>
      <c r="M23" s="1">
        <v>1</v>
      </c>
      <c r="N23">
        <v>0.99914000000000003</v>
      </c>
      <c r="O23" s="17">
        <v>-5.5400000000000002E-4</v>
      </c>
      <c r="P23" s="10">
        <v>0.99967499999999998</v>
      </c>
      <c r="Q23" s="3">
        <f t="shared" si="2"/>
        <v>-0.32500000000001972</v>
      </c>
      <c r="S23" s="32">
        <v>1</v>
      </c>
      <c r="T23" s="17">
        <v>1.0007600000000001</v>
      </c>
      <c r="U23" s="17">
        <v>7.9799999999999999E-4</v>
      </c>
      <c r="V23" s="17">
        <v>0.99997000000000003</v>
      </c>
      <c r="W23" s="37">
        <f t="shared" si="3"/>
        <v>-2.9999999999974492E-2</v>
      </c>
    </row>
    <row r="24" spans="1:23" x14ac:dyDescent="0.3">
      <c r="A24" s="1">
        <v>0.75</v>
      </c>
      <c r="B24">
        <v>0.74948000000000004</v>
      </c>
      <c r="C24" s="17">
        <v>8.6000000000000003E-5</v>
      </c>
      <c r="D24">
        <v>0.74938000000000005</v>
      </c>
      <c r="E24" s="25">
        <f t="shared" si="0"/>
        <v>-0.61999999999995392</v>
      </c>
      <c r="F24" s="10"/>
      <c r="G24" s="1">
        <v>0.75</v>
      </c>
      <c r="H24">
        <v>0.74911000000000005</v>
      </c>
      <c r="I24" s="17">
        <v>3.9300000000000001E-4</v>
      </c>
      <c r="J24">
        <v>0.74870999999999999</v>
      </c>
      <c r="K24" s="3">
        <f t="shared" si="1"/>
        <v>-1.2900000000000134</v>
      </c>
      <c r="M24" s="1">
        <v>0.75</v>
      </c>
      <c r="N24">
        <v>0.74934999999999996</v>
      </c>
      <c r="O24" s="17">
        <v>-5.5599999999999996E-4</v>
      </c>
      <c r="P24" s="10">
        <v>0.74988999999999995</v>
      </c>
      <c r="Q24" s="3">
        <f t="shared" si="2"/>
        <v>-0.1100000000000545</v>
      </c>
      <c r="S24" s="32">
        <v>0.75</v>
      </c>
      <c r="T24" s="17">
        <v>0.75097999999999998</v>
      </c>
      <c r="U24" s="17">
        <v>7.9900000000000001E-4</v>
      </c>
      <c r="V24" s="17">
        <v>0.75017999999999996</v>
      </c>
      <c r="W24" s="37">
        <f t="shared" si="3"/>
        <v>0.17999999999995797</v>
      </c>
    </row>
    <row r="25" spans="1:23" x14ac:dyDescent="0.3">
      <c r="A25" s="1">
        <v>0.5</v>
      </c>
      <c r="B25">
        <v>0.49940000000000001</v>
      </c>
      <c r="C25" s="17">
        <v>8.5000000000000006E-5</v>
      </c>
      <c r="D25">
        <v>0.49931999999999999</v>
      </c>
      <c r="E25" s="25">
        <f t="shared" si="0"/>
        <v>-0.68000000000001393</v>
      </c>
      <c r="F25" s="10"/>
      <c r="G25" s="1">
        <v>0.5</v>
      </c>
      <c r="H25">
        <v>0.49896000000000001</v>
      </c>
      <c r="I25" s="17">
        <v>3.9300000000000001E-4</v>
      </c>
      <c r="J25">
        <v>0.49856</v>
      </c>
      <c r="K25" s="3">
        <f t="shared" si="1"/>
        <v>-1.4399999999999968</v>
      </c>
      <c r="M25" s="1">
        <v>0.5</v>
      </c>
      <c r="N25">
        <v>0.49919000000000002</v>
      </c>
      <c r="O25" s="17">
        <v>-5.5500000000000005E-4</v>
      </c>
      <c r="P25" s="10">
        <v>0.49973499999999998</v>
      </c>
      <c r="Q25" s="3">
        <f t="shared" si="2"/>
        <v>-0.26500000000001522</v>
      </c>
      <c r="S25" s="32">
        <v>0.5</v>
      </c>
      <c r="T25" s="17">
        <v>0.50083</v>
      </c>
      <c r="U25" s="17">
        <v>7.9900000000000001E-4</v>
      </c>
      <c r="V25" s="17">
        <v>0.5</v>
      </c>
      <c r="W25" s="37">
        <f t="shared" si="3"/>
        <v>0</v>
      </c>
    </row>
    <row r="26" spans="1:23" x14ac:dyDescent="0.3">
      <c r="A26" s="1">
        <v>0.25</v>
      </c>
      <c r="B26">
        <v>0.24970999999999999</v>
      </c>
      <c r="C26" s="17">
        <v>6.0000000000000002E-5</v>
      </c>
      <c r="D26">
        <v>0.24962999999999999</v>
      </c>
      <c r="E26" s="25">
        <f t="shared" si="0"/>
        <v>-0.37000000000000921</v>
      </c>
      <c r="F26" s="10"/>
      <c r="G26" s="1">
        <v>0.25</v>
      </c>
      <c r="H26" s="10">
        <v>0.24918999999999999</v>
      </c>
      <c r="I26" s="17">
        <v>3.86E-4</v>
      </c>
      <c r="J26">
        <v>0.24879000000000001</v>
      </c>
      <c r="K26" s="3">
        <f t="shared" si="1"/>
        <v>-1.2099999999999889</v>
      </c>
      <c r="M26" s="1">
        <v>0.25</v>
      </c>
      <c r="N26" s="10">
        <v>0.24942</v>
      </c>
      <c r="O26" s="17">
        <v>-5.4699999999999996E-4</v>
      </c>
      <c r="P26" s="10">
        <v>0.24995999999999999</v>
      </c>
      <c r="Q26" s="3">
        <f t="shared" si="2"/>
        <v>-4.0000000000012248E-2</v>
      </c>
      <c r="S26" s="32">
        <v>0.25</v>
      </c>
      <c r="T26" s="17">
        <v>0.25106000000000001</v>
      </c>
      <c r="U26" s="17">
        <v>7.9900000000000001E-4</v>
      </c>
      <c r="V26" s="17">
        <v>0.25025999999999998</v>
      </c>
      <c r="W26" s="37">
        <f t="shared" si="3"/>
        <v>0.25999999999998247</v>
      </c>
    </row>
    <row r="27" spans="1:23" x14ac:dyDescent="0.3">
      <c r="A27" s="1">
        <v>0.1</v>
      </c>
      <c r="B27">
        <v>9.9654999999999994E-2</v>
      </c>
      <c r="C27" s="17">
        <v>5.7000000000000003E-5</v>
      </c>
      <c r="D27">
        <v>9.9589999999999998E-2</v>
      </c>
      <c r="E27" s="25">
        <f t="shared" si="0"/>
        <v>-0.41000000000000758</v>
      </c>
      <c r="F27" s="10"/>
      <c r="G27" s="1">
        <v>0.1</v>
      </c>
      <c r="H27">
        <v>9.9080000000000001E-2</v>
      </c>
      <c r="I27" s="17">
        <v>3.88E-4</v>
      </c>
      <c r="J27">
        <v>9.8699999999999996E-2</v>
      </c>
      <c r="K27" s="3">
        <f t="shared" si="1"/>
        <v>-1.3000000000000096</v>
      </c>
      <c r="M27" s="1">
        <v>0.1</v>
      </c>
      <c r="N27">
        <v>9.9329000000000001E-2</v>
      </c>
      <c r="O27" s="17">
        <v>-5.4699999999999996E-4</v>
      </c>
      <c r="P27" s="10">
        <v>9.987E-2</v>
      </c>
      <c r="Q27" s="3">
        <f t="shared" si="2"/>
        <v>-0.13000000000000511</v>
      </c>
      <c r="S27" s="32">
        <v>0.1</v>
      </c>
      <c r="T27" s="17">
        <v>0.10095999999999999</v>
      </c>
      <c r="U27" s="17">
        <v>7.9799999999999999E-4</v>
      </c>
      <c r="V27" s="17">
        <v>0.10017</v>
      </c>
      <c r="W27" s="37">
        <f t="shared" si="3"/>
        <v>0.1699999999999896</v>
      </c>
    </row>
    <row r="28" spans="1:23" x14ac:dyDescent="0.3">
      <c r="A28" s="1">
        <v>0.05</v>
      </c>
      <c r="B28">
        <v>4.9636E-2</v>
      </c>
      <c r="C28" s="17">
        <v>6.7000000000000002E-5</v>
      </c>
      <c r="D28">
        <v>4.9579999999999999E-2</v>
      </c>
      <c r="E28" s="25">
        <f t="shared" si="0"/>
        <v>-0.4200000000000037</v>
      </c>
      <c r="F28" s="10"/>
      <c r="G28" s="1">
        <v>0.05</v>
      </c>
      <c r="H28">
        <v>4.9050000000000003E-2</v>
      </c>
      <c r="I28" s="17">
        <v>3.88E-4</v>
      </c>
      <c r="J28">
        <v>4.8669999999999998E-2</v>
      </c>
      <c r="K28" s="3">
        <f t="shared" si="1"/>
        <v>-1.3300000000000047</v>
      </c>
      <c r="M28" s="1">
        <v>0.05</v>
      </c>
      <c r="N28">
        <v>4.9294999999999999E-2</v>
      </c>
      <c r="O28" s="17">
        <v>-5.5099999999999995E-4</v>
      </c>
      <c r="P28" s="10">
        <v>4.9840000000000002E-2</v>
      </c>
      <c r="Q28" s="3">
        <f t="shared" si="2"/>
        <v>-0.16000000000000042</v>
      </c>
      <c r="S28" s="32">
        <v>0.05</v>
      </c>
      <c r="T28" s="17">
        <v>5.0930000000000003E-2</v>
      </c>
      <c r="U28" s="17">
        <v>7.9799999999999999E-4</v>
      </c>
      <c r="V28" s="17">
        <v>5.0134999999999999E-2</v>
      </c>
      <c r="W28" s="37">
        <f t="shared" si="3"/>
        <v>0.13499999999999623</v>
      </c>
    </row>
    <row r="29" spans="1:23" x14ac:dyDescent="0.3">
      <c r="A29" s="1">
        <v>0.02</v>
      </c>
      <c r="B29">
        <v>1.9775000000000001E-2</v>
      </c>
      <c r="C29" s="17">
        <v>6.3E-5</v>
      </c>
      <c r="D29">
        <v>1.9720000000000001E-2</v>
      </c>
      <c r="E29" s="25">
        <f t="shared" si="0"/>
        <v>-0.27999999999999903</v>
      </c>
      <c r="F29" s="10"/>
      <c r="G29" s="1">
        <v>0.02</v>
      </c>
      <c r="H29">
        <v>1.9182999999999999E-2</v>
      </c>
      <c r="I29" s="17">
        <v>3.8999999999999999E-4</v>
      </c>
      <c r="J29">
        <v>1.8800000000000001E-2</v>
      </c>
      <c r="K29" s="3">
        <f t="shared" si="1"/>
        <v>-1.1999999999999997</v>
      </c>
      <c r="M29" s="1">
        <v>0.02</v>
      </c>
      <c r="N29">
        <v>1.9421999999999998E-2</v>
      </c>
      <c r="O29" s="17">
        <v>-5.5199999999999997E-4</v>
      </c>
      <c r="P29" s="10">
        <v>1.9973000000000001E-2</v>
      </c>
      <c r="Q29" s="3">
        <f t="shared" si="2"/>
        <v>-2.6999999999999247E-2</v>
      </c>
      <c r="S29" s="32">
        <v>0.02</v>
      </c>
      <c r="T29" s="17">
        <v>2.1059999999999999E-2</v>
      </c>
      <c r="U29" s="17">
        <v>7.9699999999999997E-4</v>
      </c>
      <c r="V29" s="17">
        <v>2.0264999999999998E-2</v>
      </c>
      <c r="W29" s="37">
        <f t="shared" si="3"/>
        <v>0.2649999999999979</v>
      </c>
    </row>
    <row r="30" spans="1:23" x14ac:dyDescent="0.3">
      <c r="A30" s="1">
        <v>0.01</v>
      </c>
      <c r="B30">
        <v>9.6900000000000007E-3</v>
      </c>
      <c r="C30" s="17">
        <v>4.8999999999999998E-5</v>
      </c>
      <c r="D30">
        <v>9.6419999999999995E-3</v>
      </c>
      <c r="E30" s="25">
        <f t="shared" si="0"/>
        <v>-0.35800000000000065</v>
      </c>
      <c r="F30" s="10"/>
      <c r="G30" s="1">
        <v>0.01</v>
      </c>
      <c r="H30">
        <v>9.0980000000000002E-3</v>
      </c>
      <c r="I30" s="17">
        <v>3.8999999999999999E-4</v>
      </c>
      <c r="J30">
        <v>8.7100000000000007E-3</v>
      </c>
      <c r="K30" s="3">
        <f t="shared" si="1"/>
        <v>-1.2899999999999996</v>
      </c>
      <c r="M30" s="1">
        <v>0.01</v>
      </c>
      <c r="N30">
        <v>9.3399999999999993E-3</v>
      </c>
      <c r="O30" s="17">
        <v>-5.4299999999999997E-4</v>
      </c>
      <c r="P30" s="10">
        <v>9.8799999999999999E-3</v>
      </c>
      <c r="Q30" s="3">
        <f t="shared" si="2"/>
        <v>-0.12000000000000031</v>
      </c>
      <c r="S30" s="32">
        <v>0.01</v>
      </c>
      <c r="T30" s="17">
        <v>1.098E-2</v>
      </c>
      <c r="U30" s="17">
        <v>7.9600000000000005E-4</v>
      </c>
      <c r="V30" s="17">
        <v>1.018E-2</v>
      </c>
      <c r="W30" s="37">
        <f t="shared" si="3"/>
        <v>0.1799999999999996</v>
      </c>
    </row>
    <row r="31" spans="1:23" x14ac:dyDescent="0.3">
      <c r="A31" s="7">
        <v>0</v>
      </c>
      <c r="B31" s="8">
        <v>-2.4000000000000001E-5</v>
      </c>
      <c r="C31" s="8">
        <v>-4.5000000000000003E-5</v>
      </c>
      <c r="D31" s="8">
        <v>-6.3E-5</v>
      </c>
      <c r="E31" s="38">
        <f t="shared" si="0"/>
        <v>-6.3E-2</v>
      </c>
      <c r="F31" s="10"/>
      <c r="G31" s="7">
        <v>0</v>
      </c>
      <c r="H31" s="8">
        <v>-6.3400000000000001E-4</v>
      </c>
      <c r="I31" s="8">
        <v>3.8200000000000002E-4</v>
      </c>
      <c r="J31" s="8">
        <v>-9.9799999999999997E-4</v>
      </c>
      <c r="K31" s="9">
        <f t="shared" si="1"/>
        <v>-0.998</v>
      </c>
      <c r="M31" s="7">
        <v>0</v>
      </c>
      <c r="N31" s="8">
        <v>-3.6299999999999999E-4</v>
      </c>
      <c r="O31" s="8">
        <v>-5.4299999999999997E-4</v>
      </c>
      <c r="P31" s="8">
        <v>1.7000000000000001E-4</v>
      </c>
      <c r="Q31" s="9">
        <f t="shared" si="2"/>
        <v>0.17</v>
      </c>
      <c r="S31" s="33">
        <v>0</v>
      </c>
      <c r="T31" s="8">
        <v>1.268E-3</v>
      </c>
      <c r="U31" s="8">
        <v>7.9299999999999998E-4</v>
      </c>
      <c r="V31" s="8">
        <v>4.7699999999999999E-4</v>
      </c>
      <c r="W31" s="39">
        <f t="shared" si="3"/>
        <v>0.47699999999999998</v>
      </c>
    </row>
    <row r="32" spans="1:23" x14ac:dyDescent="0.3">
      <c r="A32" s="1">
        <v>-0.01</v>
      </c>
      <c r="B32" s="10">
        <v>-1.048E-2</v>
      </c>
      <c r="C32" s="10">
        <v>9.3999999999999994E-5</v>
      </c>
      <c r="D32" s="10">
        <v>-1.0576E-2</v>
      </c>
      <c r="E32" s="25">
        <f t="shared" si="0"/>
        <v>-0.57600000000000007</v>
      </c>
      <c r="F32" s="10"/>
      <c r="G32" s="1">
        <v>-0.01</v>
      </c>
      <c r="H32">
        <v>-1.11E-2</v>
      </c>
      <c r="I32" s="10">
        <v>3.8299999999999999E-4</v>
      </c>
      <c r="J32" s="10">
        <v>-1.1480000000000001E-2</v>
      </c>
      <c r="K32" s="3">
        <f t="shared" si="1"/>
        <v>-1.4800000000000004</v>
      </c>
      <c r="M32" s="1">
        <v>-0.01</v>
      </c>
      <c r="N32">
        <v>-1.086E-2</v>
      </c>
      <c r="O32" s="10">
        <v>-5.4900000000000001E-4</v>
      </c>
      <c r="P32" s="10">
        <v>-1.0290000000000001E-2</v>
      </c>
      <c r="Q32" s="3">
        <f t="shared" si="2"/>
        <v>-0.29000000000000031</v>
      </c>
      <c r="S32" s="32">
        <v>-0.01</v>
      </c>
      <c r="T32" s="17">
        <v>-9.2200000000000008E-3</v>
      </c>
      <c r="U32" s="17">
        <v>7.8700000000000005E-4</v>
      </c>
      <c r="V32" s="17">
        <v>-1.001E-2</v>
      </c>
      <c r="W32" s="37">
        <f t="shared" si="3"/>
        <v>-9.9999999999995925E-3</v>
      </c>
    </row>
    <row r="33" spans="1:23" x14ac:dyDescent="0.3">
      <c r="A33" s="1">
        <v>-0.02</v>
      </c>
      <c r="B33" s="10">
        <v>-2.0560999999999999E-2</v>
      </c>
      <c r="C33" s="10">
        <v>9.5000000000000005E-5</v>
      </c>
      <c r="D33" s="10">
        <v>-2.0653999999999999E-2</v>
      </c>
      <c r="E33" s="25">
        <f t="shared" si="0"/>
        <v>-0.65399999999999836</v>
      </c>
      <c r="F33" s="10"/>
      <c r="G33" s="1">
        <v>-0.02</v>
      </c>
      <c r="H33">
        <v>-2.1173000000000001E-2</v>
      </c>
      <c r="I33" s="10">
        <v>3.8099999999999999E-4</v>
      </c>
      <c r="J33">
        <v>-2.1554E-2</v>
      </c>
      <c r="K33" s="3">
        <f t="shared" si="1"/>
        <v>-1.5539999999999998</v>
      </c>
      <c r="M33" s="1">
        <v>-0.02</v>
      </c>
      <c r="N33">
        <v>-2.0941000000000001E-2</v>
      </c>
      <c r="O33" s="10">
        <v>-5.5000000000000003E-4</v>
      </c>
      <c r="P33" s="10">
        <v>-2.0392E-2</v>
      </c>
      <c r="Q33" s="3">
        <f t="shared" si="2"/>
        <v>-0.39200000000000002</v>
      </c>
      <c r="S33" s="32">
        <v>-0.02</v>
      </c>
      <c r="T33" s="17">
        <v>-1.9297999999999999E-2</v>
      </c>
      <c r="U33" s="17">
        <v>7.9000000000000001E-4</v>
      </c>
      <c r="V33" s="17">
        <v>-2.009E-2</v>
      </c>
      <c r="W33" s="37">
        <f t="shared" si="3"/>
        <v>-8.9999999999999802E-2</v>
      </c>
    </row>
    <row r="34" spans="1:23" x14ac:dyDescent="0.3">
      <c r="A34" s="1">
        <v>-0.05</v>
      </c>
      <c r="B34" s="10">
        <v>-5.042E-2</v>
      </c>
      <c r="C34" s="10">
        <v>9.2999999999999997E-5</v>
      </c>
      <c r="D34" s="10">
        <v>-5.0509999999999999E-2</v>
      </c>
      <c r="E34" s="25">
        <f t="shared" si="0"/>
        <v>-0.50999999999999657</v>
      </c>
      <c r="F34" s="10"/>
      <c r="G34" s="1">
        <v>-0.05</v>
      </c>
      <c r="H34">
        <v>-5.1040000000000002E-2</v>
      </c>
      <c r="I34" s="10">
        <v>3.6699999999999998E-4</v>
      </c>
      <c r="J34">
        <v>-5.1423000000000003E-2</v>
      </c>
      <c r="K34" s="3">
        <f t="shared" si="1"/>
        <v>-1.4230000000000007</v>
      </c>
      <c r="M34" s="1">
        <v>-0.05</v>
      </c>
      <c r="N34">
        <v>-5.0810000000000001E-2</v>
      </c>
      <c r="O34" s="10">
        <v>-5.5699999999999999E-4</v>
      </c>
      <c r="P34" s="10">
        <v>-5.0259999999999999E-2</v>
      </c>
      <c r="Q34" s="3">
        <f t="shared" si="2"/>
        <v>-0.25999999999999635</v>
      </c>
      <c r="S34" s="32">
        <v>-0.05</v>
      </c>
      <c r="T34" s="17">
        <v>-4.9165E-2</v>
      </c>
      <c r="U34" s="17">
        <v>7.9199999999999995E-4</v>
      </c>
      <c r="V34" s="17">
        <v>-4.9959999999999997E-2</v>
      </c>
      <c r="W34" s="37">
        <f t="shared" si="3"/>
        <v>4.0000000000005309E-2</v>
      </c>
    </row>
    <row r="35" spans="1:23" x14ac:dyDescent="0.3">
      <c r="A35" s="1">
        <v>-0.1</v>
      </c>
      <c r="B35" s="10">
        <v>-0.100428</v>
      </c>
      <c r="C35" s="10">
        <v>9.2999999999999997E-5</v>
      </c>
      <c r="D35" s="10">
        <v>-0.10052999999999999</v>
      </c>
      <c r="E35" s="25">
        <f t="shared" si="0"/>
        <v>-0.52999999999998881</v>
      </c>
      <c r="F35" s="10"/>
      <c r="G35" s="1">
        <v>-0.1</v>
      </c>
      <c r="H35">
        <v>-0.101077</v>
      </c>
      <c r="I35" s="10">
        <v>3.6900000000000002E-4</v>
      </c>
      <c r="J35">
        <v>-0.101455</v>
      </c>
      <c r="K35" s="3">
        <f t="shared" si="1"/>
        <v>-1.4549999999999979</v>
      </c>
      <c r="M35" s="1">
        <v>-0.1</v>
      </c>
      <c r="N35">
        <v>-0.100841</v>
      </c>
      <c r="O35" s="10">
        <v>-5.5800000000000001E-4</v>
      </c>
      <c r="P35" s="10">
        <v>-0.10029</v>
      </c>
      <c r="Q35" s="3">
        <f t="shared" si="2"/>
        <v>-0.28999999999999859</v>
      </c>
      <c r="S35" s="32">
        <v>-0.1</v>
      </c>
      <c r="T35" s="17">
        <v>-9.9196999999999994E-2</v>
      </c>
      <c r="U35" s="17">
        <v>7.9199999999999995E-4</v>
      </c>
      <c r="V35" s="17">
        <v>-0.10002999999999999</v>
      </c>
      <c r="W35" s="37">
        <f t="shared" si="3"/>
        <v>-2.9999999999988369E-2</v>
      </c>
    </row>
    <row r="36" spans="1:23" x14ac:dyDescent="0.3">
      <c r="A36" s="1">
        <v>-0.25</v>
      </c>
      <c r="B36" s="10">
        <v>-0.25047000000000003</v>
      </c>
      <c r="C36" s="10">
        <v>1E-4</v>
      </c>
      <c r="D36" s="10">
        <v>-0.25057000000000001</v>
      </c>
      <c r="E36" s="25">
        <f t="shared" si="0"/>
        <v>-0.57000000000001494</v>
      </c>
      <c r="F36" s="10"/>
      <c r="G36" s="1">
        <v>-0.25</v>
      </c>
      <c r="H36">
        <v>-0.25117</v>
      </c>
      <c r="I36" s="10">
        <v>3.6499999999999998E-4</v>
      </c>
      <c r="J36">
        <v>-0.25153700000000001</v>
      </c>
      <c r="K36" s="3">
        <f t="shared" si="1"/>
        <v>-1.5370000000000106</v>
      </c>
      <c r="M36" s="1">
        <v>-0.25</v>
      </c>
      <c r="N36">
        <v>-0.25094</v>
      </c>
      <c r="O36" s="10">
        <v>-5.5400000000000002E-4</v>
      </c>
      <c r="P36" s="10">
        <v>-0.25037999999999999</v>
      </c>
      <c r="Q36" s="3">
        <f t="shared" si="2"/>
        <v>-0.37999999999999146</v>
      </c>
      <c r="S36" s="32">
        <v>-0.25</v>
      </c>
      <c r="T36" s="17">
        <v>-0.24928</v>
      </c>
      <c r="U36" s="17">
        <v>7.9500000000000003E-4</v>
      </c>
      <c r="V36" s="17">
        <v>-0.25008000000000002</v>
      </c>
      <c r="W36" s="37">
        <f t="shared" si="3"/>
        <v>-8.0000000000024496E-2</v>
      </c>
    </row>
    <row r="37" spans="1:23" x14ac:dyDescent="0.3">
      <c r="A37" s="1">
        <v>-0.5</v>
      </c>
      <c r="B37" s="10">
        <v>-0.50016000000000005</v>
      </c>
      <c r="C37" s="10">
        <v>9.8999999999999994E-5</v>
      </c>
      <c r="D37" s="10">
        <v>-0.500251</v>
      </c>
      <c r="E37" s="25">
        <f t="shared" si="0"/>
        <v>-0.25100000000000122</v>
      </c>
      <c r="F37" s="10"/>
      <c r="G37" s="1">
        <v>-0.5</v>
      </c>
      <c r="H37">
        <v>-0.50095000000000001</v>
      </c>
      <c r="I37" s="10">
        <v>3.6499999999999998E-4</v>
      </c>
      <c r="J37">
        <v>-0.50131000000000003</v>
      </c>
      <c r="K37" s="3">
        <f t="shared" si="1"/>
        <v>-1.3100000000000334</v>
      </c>
      <c r="M37" s="1">
        <v>-0.5</v>
      </c>
      <c r="N37">
        <v>-0.50072000000000005</v>
      </c>
      <c r="O37" s="10">
        <v>-5.5400000000000002E-4</v>
      </c>
      <c r="P37" s="10">
        <v>-0.50014599999999998</v>
      </c>
      <c r="Q37" s="3">
        <f t="shared" si="2"/>
        <v>-0.14599999999997948</v>
      </c>
      <c r="S37" s="32">
        <v>-0.5</v>
      </c>
      <c r="T37" s="17">
        <v>-0.49904999999999999</v>
      </c>
      <c r="U37" s="17">
        <v>7.9500000000000003E-4</v>
      </c>
      <c r="V37" s="17">
        <v>-0.49985000000000002</v>
      </c>
      <c r="W37" s="37">
        <f t="shared" si="3"/>
        <v>0.14999999999998348</v>
      </c>
    </row>
    <row r="38" spans="1:23" x14ac:dyDescent="0.3">
      <c r="A38" s="1">
        <v>-0.75</v>
      </c>
      <c r="B38" s="10">
        <v>-0.75022</v>
      </c>
      <c r="C38" s="10">
        <v>1E-4</v>
      </c>
      <c r="D38" s="10">
        <v>-0.75031700000000001</v>
      </c>
      <c r="E38" s="25">
        <f t="shared" si="0"/>
        <v>-0.31700000000001172</v>
      </c>
      <c r="F38" s="10"/>
      <c r="G38" s="1">
        <v>-0.75</v>
      </c>
      <c r="H38">
        <v>-0.75109999999999999</v>
      </c>
      <c r="I38" s="10">
        <v>3.6400000000000001E-4</v>
      </c>
      <c r="J38">
        <v>-0.75146000000000002</v>
      </c>
      <c r="K38" s="3">
        <f t="shared" si="1"/>
        <v>-1.4600000000000168</v>
      </c>
      <c r="M38" s="1">
        <v>-0.75</v>
      </c>
      <c r="N38">
        <v>-0.75087000000000004</v>
      </c>
      <c r="O38" s="10">
        <v>-5.44E-4</v>
      </c>
      <c r="P38" s="10">
        <v>-0.75029800000000002</v>
      </c>
      <c r="Q38" s="3">
        <f t="shared" si="2"/>
        <v>-0.29800000000002047</v>
      </c>
      <c r="S38" s="32">
        <v>-0.75</v>
      </c>
      <c r="T38" s="17">
        <v>-0.74921000000000004</v>
      </c>
      <c r="U38" s="17">
        <v>7.94E-4</v>
      </c>
      <c r="V38" s="17">
        <v>-0.75</v>
      </c>
      <c r="W38" s="37">
        <f t="shared" si="3"/>
        <v>0</v>
      </c>
    </row>
    <row r="39" spans="1:23" x14ac:dyDescent="0.3">
      <c r="A39" s="1">
        <v>-1</v>
      </c>
      <c r="B39" s="10">
        <v>-0.99992000000000003</v>
      </c>
      <c r="C39" s="10">
        <v>1E-4</v>
      </c>
      <c r="D39" s="10">
        <v>-1.0000100000000001</v>
      </c>
      <c r="E39" s="25">
        <f t="shared" si="0"/>
        <v>-1.0000000000065512E-2</v>
      </c>
      <c r="F39" s="10"/>
      <c r="G39" s="1">
        <v>-1</v>
      </c>
      <c r="H39">
        <v>-1.0008900000000001</v>
      </c>
      <c r="I39" s="10">
        <v>3.6200000000000002E-4</v>
      </c>
      <c r="J39">
        <v>-1.0012399999999999</v>
      </c>
      <c r="K39" s="3">
        <f t="shared" si="1"/>
        <v>-1.2399999999999078</v>
      </c>
      <c r="M39" s="1">
        <v>-1</v>
      </c>
      <c r="N39">
        <v>-1.00065</v>
      </c>
      <c r="O39" s="10">
        <v>-5.4500000000000002E-4</v>
      </c>
      <c r="P39" s="10">
        <v>-1.0000899999999999</v>
      </c>
      <c r="Q39" s="3">
        <f t="shared" si="2"/>
        <v>-8.9999999999923475E-2</v>
      </c>
      <c r="S39" s="32">
        <v>-1</v>
      </c>
      <c r="T39" s="17">
        <v>-0.99899000000000004</v>
      </c>
      <c r="U39" s="17">
        <v>7.9199999999999995E-4</v>
      </c>
      <c r="V39" s="17">
        <v>-0.99978999999999996</v>
      </c>
      <c r="W39" s="37">
        <f t="shared" si="3"/>
        <v>0.21000000000004349</v>
      </c>
    </row>
    <row r="40" spans="1:23" x14ac:dyDescent="0.3">
      <c r="A40" s="1">
        <v>-2</v>
      </c>
      <c r="B40" s="10">
        <v>-1.9994000000000001</v>
      </c>
      <c r="C40" s="10">
        <v>9.8999999999999994E-5</v>
      </c>
      <c r="D40" s="10">
        <v>-1.9995099999999999</v>
      </c>
      <c r="E40" s="25">
        <f t="shared" si="0"/>
        <v>0.49000000000010147</v>
      </c>
      <c r="F40" s="10"/>
      <c r="G40" s="1">
        <v>-2</v>
      </c>
      <c r="H40">
        <v>-2.0007999999999999</v>
      </c>
      <c r="I40" s="10">
        <v>3.6400000000000001E-4</v>
      </c>
      <c r="J40">
        <v>-2.0011100000000002</v>
      </c>
      <c r="K40" s="3">
        <f t="shared" si="1"/>
        <v>-1.1100000000001664</v>
      </c>
      <c r="M40" s="1">
        <v>-2</v>
      </c>
      <c r="N40">
        <v>-2.0005000000000002</v>
      </c>
      <c r="O40" s="10">
        <v>-5.5500000000000005E-4</v>
      </c>
      <c r="P40" s="10">
        <v>-1.9999499999999999</v>
      </c>
      <c r="Q40" s="3">
        <f t="shared" si="2"/>
        <v>5.0000000000105516E-2</v>
      </c>
      <c r="S40" s="32">
        <v>-2</v>
      </c>
      <c r="T40" s="17">
        <v>-1.9988999999999999</v>
      </c>
      <c r="U40" s="17">
        <v>7.9299999999999998E-4</v>
      </c>
      <c r="V40" s="17">
        <v>-1.9997</v>
      </c>
      <c r="W40" s="37">
        <f t="shared" si="3"/>
        <v>0.29999999999996696</v>
      </c>
    </row>
    <row r="41" spans="1:23" x14ac:dyDescent="0.3">
      <c r="A41" s="1">
        <v>-3</v>
      </c>
      <c r="B41" s="10">
        <v>-2.9992999999999999</v>
      </c>
      <c r="C41" s="10">
        <v>9.8999999999999994E-5</v>
      </c>
      <c r="D41" s="10">
        <v>-2.9994000000000001</v>
      </c>
      <c r="E41" s="25">
        <f t="shared" si="0"/>
        <v>0.59999999999993392</v>
      </c>
      <c r="F41" s="10"/>
      <c r="G41" s="1">
        <v>-3</v>
      </c>
      <c r="H41">
        <v>-3.0011000000000001</v>
      </c>
      <c r="I41" s="10">
        <v>3.6400000000000001E-4</v>
      </c>
      <c r="J41">
        <v>-3.0013999999999998</v>
      </c>
      <c r="K41" s="3">
        <f t="shared" si="1"/>
        <v>-1.3999999999998458</v>
      </c>
      <c r="M41" s="1">
        <v>-3</v>
      </c>
      <c r="N41">
        <v>-3.0007999999999999</v>
      </c>
      <c r="O41" s="10">
        <v>-5.5400000000000002E-4</v>
      </c>
      <c r="P41" s="10">
        <v>-3.0002399999999998</v>
      </c>
      <c r="Q41" s="3">
        <f t="shared" si="2"/>
        <v>-0.23999999999979593</v>
      </c>
      <c r="S41" s="32">
        <v>-3</v>
      </c>
      <c r="T41" s="17">
        <v>-2.9990999999999999</v>
      </c>
      <c r="U41" s="17">
        <v>7.9299999999999998E-4</v>
      </c>
      <c r="V41" s="17">
        <v>-2.9998999999999998</v>
      </c>
      <c r="W41" s="37">
        <f t="shared" si="3"/>
        <v>0.10000000000021103</v>
      </c>
    </row>
    <row r="42" spans="1:23" x14ac:dyDescent="0.3">
      <c r="A42" s="1">
        <v>-3.25</v>
      </c>
      <c r="B42" s="10">
        <v>-3.2490999999999999</v>
      </c>
      <c r="C42" s="10">
        <v>9.7999999999999997E-5</v>
      </c>
      <c r="D42" s="10">
        <v>-3.2491699999999999</v>
      </c>
      <c r="E42" s="25">
        <f t="shared" si="0"/>
        <v>0.83000000000010843</v>
      </c>
      <c r="F42" s="10"/>
      <c r="G42" s="1">
        <v>-3.25</v>
      </c>
      <c r="H42">
        <v>-3.2509999999999999</v>
      </c>
      <c r="I42" s="10">
        <v>3.6200000000000002E-4</v>
      </c>
      <c r="J42">
        <v>-3.2512699999999999</v>
      </c>
      <c r="K42" s="3">
        <f t="shared" si="1"/>
        <v>-1.2699999999998823</v>
      </c>
      <c r="M42" s="1">
        <v>-3.25</v>
      </c>
      <c r="N42">
        <v>-3.2507000000000001</v>
      </c>
      <c r="O42" s="10">
        <v>-5.5500000000000005E-4</v>
      </c>
      <c r="P42" s="10">
        <v>-3.2501199999999999</v>
      </c>
      <c r="Q42" s="3">
        <f t="shared" si="2"/>
        <v>-0.11999999999989797</v>
      </c>
      <c r="S42" s="32">
        <v>-3.25</v>
      </c>
      <c r="T42" s="17">
        <v>-3.2490000000000001</v>
      </c>
      <c r="U42" s="17">
        <v>7.94E-4</v>
      </c>
      <c r="V42" s="17">
        <v>-3.2507999999999999</v>
      </c>
      <c r="W42" s="37">
        <f t="shared" si="3"/>
        <v>-0.79999999999991189</v>
      </c>
    </row>
    <row r="43" spans="1:23" x14ac:dyDescent="0.3">
      <c r="A43" s="1">
        <v>-3.5</v>
      </c>
      <c r="B43" s="10">
        <v>-3.4992000000000001</v>
      </c>
      <c r="C43" s="10">
        <v>9.7E-5</v>
      </c>
      <c r="D43" s="10">
        <v>-3.4993099999999999</v>
      </c>
      <c r="E43" s="25">
        <f t="shared" si="0"/>
        <v>0.69000000000007944</v>
      </c>
      <c r="F43" s="10"/>
      <c r="G43" s="1">
        <v>-3.5</v>
      </c>
      <c r="H43">
        <v>-3.5011999999999999</v>
      </c>
      <c r="I43" s="10">
        <v>3.6200000000000002E-4</v>
      </c>
      <c r="J43">
        <v>-3.5015299999999998</v>
      </c>
      <c r="K43" s="3">
        <f t="shared" si="1"/>
        <v>-1.5299999999998093</v>
      </c>
      <c r="M43" s="1">
        <v>-3.5</v>
      </c>
      <c r="N43">
        <v>-3.5009999999999999</v>
      </c>
      <c r="O43" s="10">
        <v>-5.5599999999999996E-4</v>
      </c>
      <c r="P43" s="10">
        <v>-3.5003799999999998</v>
      </c>
      <c r="Q43" s="3">
        <f t="shared" si="2"/>
        <v>-0.37999999999982492</v>
      </c>
      <c r="S43" s="32">
        <v>-3.5</v>
      </c>
      <c r="T43" s="17">
        <v>-3.4992999999999999</v>
      </c>
      <c r="U43" s="17">
        <v>7.94E-4</v>
      </c>
      <c r="V43" s="17">
        <v>-3.5001000000000002</v>
      </c>
      <c r="W43" s="37">
        <f t="shared" si="3"/>
        <v>-0.10000000000021103</v>
      </c>
    </row>
    <row r="44" spans="1:23" x14ac:dyDescent="0.3">
      <c r="A44" s="1">
        <v>-3.75</v>
      </c>
      <c r="B44" s="10">
        <v>-3.7490000000000001</v>
      </c>
      <c r="C44" s="10">
        <v>9.5000000000000005E-5</v>
      </c>
      <c r="D44" s="15">
        <v>-3.7490600000000001</v>
      </c>
      <c r="E44" s="25">
        <f t="shared" si="0"/>
        <v>0.93999999999994088</v>
      </c>
      <c r="F44" s="10"/>
      <c r="G44" s="1">
        <v>-3.75</v>
      </c>
      <c r="H44">
        <v>-3.7511000000000001</v>
      </c>
      <c r="I44" s="10">
        <v>3.6200000000000002E-4</v>
      </c>
      <c r="J44">
        <v>-3.7513999999999998</v>
      </c>
      <c r="K44" s="3">
        <f t="shared" si="1"/>
        <v>-1.3999999999998458</v>
      </c>
      <c r="M44" s="1">
        <v>-3.75</v>
      </c>
      <c r="N44">
        <v>-3.7509000000000001</v>
      </c>
      <c r="O44" s="10">
        <v>-5.5400000000000002E-4</v>
      </c>
      <c r="P44" s="10">
        <v>-3.7502599999999999</v>
      </c>
      <c r="Q44" s="3">
        <f t="shared" si="2"/>
        <v>-0.25999999999992696</v>
      </c>
      <c r="S44" s="32">
        <v>-3.75</v>
      </c>
      <c r="T44" s="17">
        <v>-3.7490999999999999</v>
      </c>
      <c r="U44" s="17">
        <v>7.9600000000000005E-4</v>
      </c>
      <c r="V44" s="34">
        <v>-3.75</v>
      </c>
      <c r="W44" s="37">
        <f t="shared" si="3"/>
        <v>0</v>
      </c>
    </row>
    <row r="45" spans="1:23" x14ac:dyDescent="0.3">
      <c r="A45" s="1">
        <v>-4</v>
      </c>
      <c r="B45" s="10">
        <v>-3.9986999999999999</v>
      </c>
      <c r="C45" s="10">
        <v>9.5000000000000005E-5</v>
      </c>
      <c r="D45" s="10">
        <v>-3.9987900000000001</v>
      </c>
      <c r="E45" s="25">
        <f t="shared" si="0"/>
        <v>1.2099999999999334</v>
      </c>
      <c r="F45" s="10"/>
      <c r="G45" s="1">
        <v>-4</v>
      </c>
      <c r="H45">
        <v>-4.0010000000000003</v>
      </c>
      <c r="I45" s="10">
        <v>3.6200000000000002E-4</v>
      </c>
      <c r="J45">
        <v>-4.0012699999999999</v>
      </c>
      <c r="K45" s="3">
        <f t="shared" si="1"/>
        <v>-1.2699999999998823</v>
      </c>
      <c r="M45" s="1">
        <v>-4</v>
      </c>
      <c r="N45">
        <v>-4.0007000000000001</v>
      </c>
      <c r="O45" s="10">
        <v>-5.53E-4</v>
      </c>
      <c r="P45" s="10">
        <v>-4.0000999999999998</v>
      </c>
      <c r="Q45" s="3">
        <f t="shared" si="2"/>
        <v>-9.9999999999766942E-2</v>
      </c>
      <c r="S45" s="32">
        <v>-4</v>
      </c>
      <c r="T45" s="17">
        <v>-3.9988999999999999</v>
      </c>
      <c r="U45" s="17">
        <v>7.9600000000000005E-4</v>
      </c>
      <c r="V45" s="17">
        <v>-3.9996999999999998</v>
      </c>
      <c r="W45" s="37">
        <f t="shared" si="3"/>
        <v>0.300000000000189</v>
      </c>
    </row>
    <row r="46" spans="1:23" x14ac:dyDescent="0.3">
      <c r="A46" s="1">
        <v>-4.4000000000000004</v>
      </c>
      <c r="B46" s="10">
        <v>-4.3776999999999999</v>
      </c>
      <c r="C46" s="10">
        <v>6.6000000000000005E-5</v>
      </c>
      <c r="D46" s="10">
        <v>-4.3776700000000002</v>
      </c>
      <c r="E46" s="25">
        <f t="shared" si="0"/>
        <v>22.330000000000183</v>
      </c>
      <c r="F46" s="10"/>
      <c r="G46" s="1">
        <v>-4.4000000000000004</v>
      </c>
      <c r="H46">
        <v>-4.4009999999999998</v>
      </c>
      <c r="I46" s="10">
        <v>3.6000000000000002E-4</v>
      </c>
      <c r="J46">
        <v>-4.4013200000000001</v>
      </c>
      <c r="K46" s="3">
        <f t="shared" si="1"/>
        <v>-1.3199999999997658</v>
      </c>
      <c r="M46" s="1">
        <v>-4.4000000000000004</v>
      </c>
      <c r="N46">
        <v>-4.4008000000000003</v>
      </c>
      <c r="O46" s="10">
        <v>-5.5099999999999995E-4</v>
      </c>
      <c r="P46" s="10">
        <v>-4.4001700000000001</v>
      </c>
      <c r="Q46" s="3">
        <f t="shared" si="2"/>
        <v>-0.16999999999978144</v>
      </c>
      <c r="S46" s="32">
        <v>-4.4000000000000004</v>
      </c>
      <c r="T46" s="17">
        <v>-4.3982999999999999</v>
      </c>
      <c r="U46" s="17">
        <v>7.9699999999999997E-4</v>
      </c>
      <c r="V46" s="17">
        <v>-4.3990999999999998</v>
      </c>
      <c r="W46" s="37">
        <f t="shared" si="3"/>
        <v>0.90000000000056701</v>
      </c>
    </row>
    <row r="47" spans="1:23" x14ac:dyDescent="0.3">
      <c r="A47" s="1">
        <v>-4.5</v>
      </c>
      <c r="B47" s="10">
        <v>-4.4626000000000001</v>
      </c>
      <c r="C47" s="10">
        <v>5.1999999999999997E-5</v>
      </c>
      <c r="D47" s="10">
        <v>-4.4626999999999999</v>
      </c>
      <c r="E47" s="25">
        <f t="shared" si="0"/>
        <v>37.300000000000111</v>
      </c>
      <c r="F47" s="10"/>
      <c r="G47" s="1">
        <v>-4.5</v>
      </c>
      <c r="H47">
        <v>-4.5011000000000001</v>
      </c>
      <c r="I47" s="10">
        <v>3.6000000000000002E-4</v>
      </c>
      <c r="J47">
        <v>-4.5014000000000003</v>
      </c>
      <c r="K47" s="3">
        <f t="shared" si="1"/>
        <v>-1.4000000000002899</v>
      </c>
      <c r="M47" s="1">
        <v>-4.5</v>
      </c>
      <c r="N47">
        <v>-4.5008999999999997</v>
      </c>
      <c r="O47" s="10">
        <v>-5.5099999999999995E-4</v>
      </c>
      <c r="P47" s="10">
        <v>-4.5002500000000003</v>
      </c>
      <c r="Q47" s="3">
        <f t="shared" si="2"/>
        <v>-0.25000000000030553</v>
      </c>
      <c r="S47" s="32">
        <v>-4.5</v>
      </c>
      <c r="T47" s="17">
        <v>-4.4984000000000002</v>
      </c>
      <c r="U47" s="17">
        <v>7.9699999999999997E-4</v>
      </c>
      <c r="V47" s="17">
        <v>-4.5002000000000004</v>
      </c>
      <c r="W47" s="37">
        <f t="shared" si="3"/>
        <v>-0.20000000000042206</v>
      </c>
    </row>
    <row r="48" spans="1:23" x14ac:dyDescent="0.3">
      <c r="A48" s="1">
        <v>-4.5999999999999996</v>
      </c>
      <c r="B48" s="10">
        <v>-4.5506000000000002</v>
      </c>
      <c r="C48" s="10">
        <v>4.3999999999999999E-5</v>
      </c>
      <c r="D48" s="10">
        <v>-4.5506000000000002</v>
      </c>
      <c r="E48" s="25">
        <f t="shared" si="0"/>
        <v>49.399999999999444</v>
      </c>
      <c r="F48" s="10"/>
      <c r="G48" s="1">
        <v>-4.5999999999999996</v>
      </c>
      <c r="H48">
        <v>-4.6012000000000004</v>
      </c>
      <c r="I48" s="10">
        <v>3.5799999999999997E-4</v>
      </c>
      <c r="J48">
        <v>-4.6014999999999997</v>
      </c>
      <c r="K48" s="3">
        <f t="shared" si="1"/>
        <v>-1.5000000000000568</v>
      </c>
      <c r="M48" s="1">
        <v>-4.5999999999999996</v>
      </c>
      <c r="N48">
        <v>-4.601</v>
      </c>
      <c r="O48" s="10">
        <v>-5.5800000000000001E-4</v>
      </c>
      <c r="P48" s="10">
        <v>-4.6003699999999998</v>
      </c>
      <c r="Q48" s="3">
        <f t="shared" si="2"/>
        <v>-0.3700000000002035</v>
      </c>
      <c r="S48" s="32">
        <v>-4.5999999999999996</v>
      </c>
      <c r="T48" s="17">
        <v>-4.5984999999999996</v>
      </c>
      <c r="U48" s="17">
        <v>7.9699999999999997E-4</v>
      </c>
      <c r="V48" s="17">
        <v>-4.5993000000000004</v>
      </c>
      <c r="W48" s="37">
        <f t="shared" si="3"/>
        <v>0.69999999999925677</v>
      </c>
    </row>
    <row r="49" spans="1:23" x14ac:dyDescent="0.3">
      <c r="A49" s="1">
        <v>-4.75</v>
      </c>
      <c r="B49" s="10">
        <v>-4.6311999999999998</v>
      </c>
      <c r="C49" s="10">
        <v>4.3999999999999999E-5</v>
      </c>
      <c r="D49" s="10">
        <v>-4.6364000000000001</v>
      </c>
      <c r="E49" s="25">
        <f t="shared" si="0"/>
        <v>113.59999999999992</v>
      </c>
      <c r="F49" s="10"/>
      <c r="G49" s="1">
        <v>-4.75</v>
      </c>
      <c r="H49">
        <v>-4.7514000000000003</v>
      </c>
      <c r="I49" s="10">
        <v>3.5799999999999997E-4</v>
      </c>
      <c r="J49">
        <v>-4.7516800000000003</v>
      </c>
      <c r="K49" s="3">
        <f t="shared" si="1"/>
        <v>-1.6800000000003479</v>
      </c>
      <c r="M49" s="1">
        <v>-4.75</v>
      </c>
      <c r="N49">
        <v>-4.7511000000000001</v>
      </c>
      <c r="O49" s="10">
        <v>-5.5900000000000004E-4</v>
      </c>
      <c r="P49" s="10">
        <v>-4.7505499999999996</v>
      </c>
      <c r="Q49" s="3">
        <f t="shared" si="2"/>
        <v>-0.54999999999960636</v>
      </c>
      <c r="S49" s="32">
        <v>-4.75</v>
      </c>
      <c r="T49" s="17">
        <v>-4.7487000000000004</v>
      </c>
      <c r="U49" s="17">
        <v>7.9699999999999997E-4</v>
      </c>
      <c r="V49" s="17">
        <v>-4.7495000000000003</v>
      </c>
      <c r="W49" s="37">
        <f t="shared" si="3"/>
        <v>0.49999999999972289</v>
      </c>
    </row>
    <row r="50" spans="1:23" x14ac:dyDescent="0.3">
      <c r="A50" s="1">
        <v>-4.9000000000000004</v>
      </c>
      <c r="B50" s="10">
        <v>-4.6311</v>
      </c>
      <c r="C50" s="10">
        <v>4.3999999999999999E-5</v>
      </c>
      <c r="D50" s="10">
        <v>-4.6310599999999997</v>
      </c>
      <c r="E50" s="25">
        <f t="shared" si="0"/>
        <v>268.94000000000062</v>
      </c>
      <c r="F50" s="10"/>
      <c r="G50" s="1">
        <v>-4.9000000000000004</v>
      </c>
      <c r="H50">
        <v>-4.9012000000000002</v>
      </c>
      <c r="I50" s="10">
        <v>3.4200000000000002E-4</v>
      </c>
      <c r="J50">
        <v>-4.9014699999999998</v>
      </c>
      <c r="K50" s="3">
        <f t="shared" si="1"/>
        <v>-1.4699999999994162</v>
      </c>
      <c r="M50" s="1">
        <v>-4.9000000000000004</v>
      </c>
      <c r="N50">
        <v>-4.9009</v>
      </c>
      <c r="O50" s="10">
        <v>-5.5400000000000002E-4</v>
      </c>
      <c r="P50" s="10">
        <v>-4.9002999999999997</v>
      </c>
      <c r="Q50" s="3">
        <f t="shared" si="2"/>
        <v>-0.29999999999930083</v>
      </c>
      <c r="S50" s="32">
        <v>-4.9000000000000004</v>
      </c>
      <c r="T50" s="17">
        <v>-4.8985000000000003</v>
      </c>
      <c r="U50" s="17">
        <v>7.9699999999999997E-4</v>
      </c>
      <c r="V50" s="17">
        <v>-4.8993000000000002</v>
      </c>
      <c r="W50" s="37">
        <f t="shared" si="3"/>
        <v>0.70000000000014495</v>
      </c>
    </row>
    <row r="51" spans="1:23" x14ac:dyDescent="0.3">
      <c r="A51" s="1">
        <v>-5</v>
      </c>
      <c r="B51" s="10">
        <v>-4.6308999999999996</v>
      </c>
      <c r="C51" s="10">
        <v>4.3999999999999999E-5</v>
      </c>
      <c r="D51" s="10">
        <v>-4.6360700000000001</v>
      </c>
      <c r="E51" s="25">
        <f t="shared" si="0"/>
        <v>363.92999999999984</v>
      </c>
      <c r="F51" s="10"/>
      <c r="G51" s="1">
        <v>-5</v>
      </c>
      <c r="H51">
        <v>-5.0011999999999999</v>
      </c>
      <c r="I51" s="10">
        <v>3.5E-4</v>
      </c>
      <c r="J51">
        <v>-5.0015499999999999</v>
      </c>
      <c r="K51" s="3">
        <f t="shared" si="1"/>
        <v>-1.5499999999999403</v>
      </c>
      <c r="M51" s="1">
        <v>-5</v>
      </c>
      <c r="N51">
        <v>-5.0010000000000003</v>
      </c>
      <c r="O51" s="10">
        <v>-5.5400000000000002E-4</v>
      </c>
      <c r="P51" s="10">
        <v>-5.0003799999999998</v>
      </c>
      <c r="Q51" s="3">
        <f t="shared" si="2"/>
        <v>-0.37999999999982492</v>
      </c>
      <c r="S51" s="32">
        <v>-5</v>
      </c>
      <c r="T51" s="17">
        <v>-4.9985999999999997</v>
      </c>
      <c r="U51" s="17">
        <v>7.9799999999999999E-4</v>
      </c>
      <c r="V51" s="17">
        <v>-4.9993999999999996</v>
      </c>
      <c r="W51" s="37">
        <f t="shared" si="3"/>
        <v>0.60000000000037801</v>
      </c>
    </row>
    <row r="52" spans="1:23" x14ac:dyDescent="0.3">
      <c r="A52" s="1">
        <v>-5.0999999999999996</v>
      </c>
      <c r="B52" s="10">
        <v>-4.6308999999999996</v>
      </c>
      <c r="C52" s="10">
        <v>4.3000000000000002E-5</v>
      </c>
      <c r="D52" s="10">
        <v>-4.6308699999999998</v>
      </c>
      <c r="E52" s="25">
        <f t="shared" si="0"/>
        <v>469.12999999999982</v>
      </c>
      <c r="F52" s="10"/>
      <c r="G52" s="1">
        <v>-5.0999999999999996</v>
      </c>
      <c r="H52">
        <v>-5.1013000000000002</v>
      </c>
      <c r="I52" s="10">
        <v>3.5399999999999999E-4</v>
      </c>
      <c r="J52">
        <v>-5.10161</v>
      </c>
      <c r="K52" s="3">
        <f t="shared" si="1"/>
        <v>-1.6100000000003334</v>
      </c>
      <c r="M52" s="1">
        <v>-5.0999999999999996</v>
      </c>
      <c r="N52">
        <v>-5.1010999999999997</v>
      </c>
      <c r="O52" s="10">
        <v>-5.5599999999999996E-4</v>
      </c>
      <c r="P52" s="10">
        <v>-5.1004500000000004</v>
      </c>
      <c r="Q52" s="3">
        <f t="shared" si="2"/>
        <v>-0.4500000000007276</v>
      </c>
      <c r="S52" s="32">
        <v>-5.0999999999999996</v>
      </c>
      <c r="T52" s="17">
        <v>-5.0987</v>
      </c>
      <c r="U52" s="17">
        <v>7.9699999999999997E-4</v>
      </c>
      <c r="V52" s="17">
        <v>-5.0994000000000002</v>
      </c>
      <c r="W52" s="37">
        <f t="shared" si="3"/>
        <v>0.59999999999948983</v>
      </c>
    </row>
    <row r="53" spans="1:23" ht="15" thickBot="1" x14ac:dyDescent="0.35">
      <c r="A53" s="1">
        <v>-5.2</v>
      </c>
      <c r="B53" s="10">
        <v>-4.6306000000000003</v>
      </c>
      <c r="C53" s="10">
        <v>4.3999999999999999E-5</v>
      </c>
      <c r="D53" s="10">
        <v>-4.6358300000000003</v>
      </c>
      <c r="E53" s="25">
        <f t="shared" si="0"/>
        <v>564.16999999999985</v>
      </c>
      <c r="F53" s="10"/>
      <c r="G53" s="1">
        <v>-5.2</v>
      </c>
      <c r="H53">
        <v>-5.1871999999999998</v>
      </c>
      <c r="I53" s="10">
        <v>3.3799999999999998E-4</v>
      </c>
      <c r="J53">
        <v>-5.1874799999999999</v>
      </c>
      <c r="K53" s="3">
        <f t="shared" si="1"/>
        <v>12.520000000000309</v>
      </c>
      <c r="M53" s="1">
        <v>-5.2</v>
      </c>
      <c r="N53">
        <v>-5.1749999999999998</v>
      </c>
      <c r="O53" s="10">
        <v>-5.5699999999999999E-4</v>
      </c>
      <c r="P53" s="10">
        <v>-5.1743499999999996</v>
      </c>
      <c r="Q53" s="3">
        <f t="shared" si="2"/>
        <v>25.650000000000617</v>
      </c>
      <c r="S53" s="35">
        <v>-5.2</v>
      </c>
      <c r="T53" s="36">
        <v>-5.1974999999999998</v>
      </c>
      <c r="U53" s="36">
        <v>7.9600000000000005E-4</v>
      </c>
      <c r="V53" s="36">
        <v>-5.1965000000000003</v>
      </c>
      <c r="W53" s="37">
        <f t="shared" si="3"/>
        <v>3.4999999999998366</v>
      </c>
    </row>
    <row r="54" spans="1:23" x14ac:dyDescent="0.3">
      <c r="A54" s="18"/>
      <c r="B54" s="19"/>
      <c r="C54" s="20"/>
      <c r="D54" s="10"/>
      <c r="E54" s="10"/>
      <c r="F54" s="10"/>
    </row>
    <row r="55" spans="1:23" x14ac:dyDescent="0.3">
      <c r="G55" t="s">
        <v>28</v>
      </c>
      <c r="M55" t="s">
        <v>29</v>
      </c>
    </row>
  </sheetData>
  <mergeCells count="4">
    <mergeCell ref="A7:E7"/>
    <mergeCell ref="G7:K7"/>
    <mergeCell ref="M7:Q7"/>
    <mergeCell ref="S7:W7"/>
  </mergeCells>
  <pageMargins left="0.7" right="0.7" top="0.78740157499999996" bottom="0.78740157499999996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810B0-F6CA-425C-AFAB-03D2B3DC6E1B}">
  <dimension ref="A1:M64"/>
  <sheetViews>
    <sheetView zoomScale="80" zoomScaleNormal="80" workbookViewId="0">
      <selection activeCell="M27" sqref="M27"/>
    </sheetView>
  </sheetViews>
  <sheetFormatPr baseColWidth="10" defaultRowHeight="14.4" x14ac:dyDescent="0.3"/>
  <cols>
    <col min="3" max="7" width="13.77734375" customWidth="1"/>
    <col min="8" max="8" width="11.5546875" customWidth="1"/>
    <col min="9" max="12" width="13.77734375" customWidth="1"/>
  </cols>
  <sheetData>
    <row r="1" spans="1:13" x14ac:dyDescent="0.3">
      <c r="A1" s="5" t="s">
        <v>12</v>
      </c>
      <c r="B1" s="5"/>
      <c r="C1" s="5"/>
      <c r="D1" s="5"/>
      <c r="E1" s="5"/>
      <c r="G1" s="6" t="s">
        <v>5</v>
      </c>
      <c r="H1" s="11" t="s">
        <v>17</v>
      </c>
    </row>
    <row r="2" spans="1:13" x14ac:dyDescent="0.3">
      <c r="A2" s="5" t="s">
        <v>30</v>
      </c>
      <c r="B2" s="5"/>
      <c r="C2" s="5"/>
      <c r="D2" s="5"/>
      <c r="E2" s="5"/>
      <c r="G2" s="6" t="s">
        <v>6</v>
      </c>
      <c r="H2" s="11" t="s">
        <v>13</v>
      </c>
      <c r="I2" s="12"/>
      <c r="M2" t="s">
        <v>10</v>
      </c>
    </row>
    <row r="4" spans="1:13" x14ac:dyDescent="0.3">
      <c r="A4" s="6" t="s">
        <v>0</v>
      </c>
      <c r="B4" s="24" t="s">
        <v>15</v>
      </c>
      <c r="C4" s="24"/>
      <c r="D4" s="24"/>
    </row>
    <row r="5" spans="1:13" x14ac:dyDescent="0.3">
      <c r="A5" s="6" t="s">
        <v>1</v>
      </c>
      <c r="B5" s="24" t="s">
        <v>16</v>
      </c>
      <c r="C5" s="24"/>
      <c r="D5" s="24"/>
    </row>
    <row r="8" spans="1:13" x14ac:dyDescent="0.3">
      <c r="A8" s="23" t="s">
        <v>18</v>
      </c>
      <c r="B8" s="23"/>
      <c r="C8" s="23"/>
      <c r="D8" s="23"/>
      <c r="E8" s="23"/>
      <c r="F8" s="23"/>
      <c r="H8" s="23" t="s">
        <v>19</v>
      </c>
      <c r="I8" s="23"/>
      <c r="J8" s="23"/>
      <c r="K8" s="23"/>
      <c r="L8" s="23"/>
    </row>
    <row r="9" spans="1:13" x14ac:dyDescent="0.3">
      <c r="A9" s="4" t="s">
        <v>20</v>
      </c>
      <c r="B9" s="4" t="s">
        <v>2</v>
      </c>
      <c r="C9" s="4" t="s">
        <v>4</v>
      </c>
      <c r="D9" s="4" t="s">
        <v>7</v>
      </c>
      <c r="E9" s="4" t="s">
        <v>8</v>
      </c>
      <c r="F9" s="4" t="s">
        <v>9</v>
      </c>
      <c r="H9" s="4" t="s">
        <v>11</v>
      </c>
      <c r="I9" s="4" t="s">
        <v>7</v>
      </c>
      <c r="J9" s="4" t="s">
        <v>8</v>
      </c>
      <c r="K9" s="4" t="s">
        <v>9</v>
      </c>
      <c r="L9" s="4" t="s">
        <v>21</v>
      </c>
    </row>
    <row r="10" spans="1:13" x14ac:dyDescent="0.3">
      <c r="A10" s="1">
        <v>5.2</v>
      </c>
      <c r="C10" s="3"/>
      <c r="H10" s="1">
        <v>5.2</v>
      </c>
    </row>
    <row r="11" spans="1:13" x14ac:dyDescent="0.3">
      <c r="A11" s="1">
        <v>5.0999999999999996</v>
      </c>
      <c r="C11" s="3"/>
      <c r="H11" s="1">
        <v>5.0999999999999996</v>
      </c>
    </row>
    <row r="12" spans="1:13" x14ac:dyDescent="0.3">
      <c r="A12" s="1">
        <v>5</v>
      </c>
      <c r="B12" s="13"/>
      <c r="C12" s="3"/>
      <c r="H12" s="1">
        <v>5</v>
      </c>
    </row>
    <row r="13" spans="1:13" x14ac:dyDescent="0.3">
      <c r="A13" s="1">
        <v>4.9000000000000004</v>
      </c>
      <c r="B13" s="13"/>
      <c r="C13" s="3"/>
      <c r="H13" s="1">
        <v>4.9000000000000004</v>
      </c>
    </row>
    <row r="14" spans="1:13" x14ac:dyDescent="0.3">
      <c r="A14" s="1">
        <v>4.75</v>
      </c>
      <c r="B14" s="13"/>
      <c r="C14" s="3"/>
      <c r="H14" s="1">
        <v>4.75</v>
      </c>
    </row>
    <row r="15" spans="1:13" x14ac:dyDescent="0.3">
      <c r="A15" s="1">
        <v>4.5999999999999996</v>
      </c>
      <c r="B15" s="13"/>
      <c r="C15" s="3"/>
      <c r="H15" s="1">
        <v>4.5999999999999996</v>
      </c>
    </row>
    <row r="16" spans="1:13" x14ac:dyDescent="0.3">
      <c r="A16" s="1">
        <v>4.5</v>
      </c>
      <c r="B16" s="13"/>
      <c r="C16" s="3"/>
      <c r="H16" s="1">
        <v>4.5</v>
      </c>
    </row>
    <row r="17" spans="1:12" x14ac:dyDescent="0.3">
      <c r="A17" s="1">
        <v>4.4000000000000004</v>
      </c>
      <c r="B17" s="13"/>
      <c r="C17" s="3"/>
      <c r="H17" s="1">
        <v>4.4000000000000004</v>
      </c>
    </row>
    <row r="18" spans="1:12" x14ac:dyDescent="0.3">
      <c r="A18" s="1">
        <v>4</v>
      </c>
      <c r="B18" s="13"/>
      <c r="C18" s="3"/>
      <c r="H18" s="1">
        <v>4</v>
      </c>
    </row>
    <row r="19" spans="1:12" x14ac:dyDescent="0.3">
      <c r="A19" s="1">
        <v>3.75</v>
      </c>
      <c r="B19" s="13"/>
      <c r="C19" s="3"/>
      <c r="H19" s="1">
        <v>3.75</v>
      </c>
    </row>
    <row r="20" spans="1:12" x14ac:dyDescent="0.3">
      <c r="A20" s="1">
        <v>3.5</v>
      </c>
      <c r="B20" s="13"/>
      <c r="C20" s="3"/>
      <c r="H20" s="1">
        <v>3.5</v>
      </c>
    </row>
    <row r="21" spans="1:12" x14ac:dyDescent="0.3">
      <c r="A21" s="1">
        <v>3.25</v>
      </c>
      <c r="B21" s="13"/>
      <c r="C21" s="3"/>
      <c r="H21" s="1">
        <v>3.25</v>
      </c>
    </row>
    <row r="22" spans="1:12" x14ac:dyDescent="0.3">
      <c r="A22" s="1">
        <v>3</v>
      </c>
      <c r="B22" s="13"/>
      <c r="C22" s="3"/>
      <c r="H22" s="1">
        <v>3</v>
      </c>
    </row>
    <row r="23" spans="1:12" x14ac:dyDescent="0.3">
      <c r="A23" s="1">
        <v>2</v>
      </c>
      <c r="B23" s="13"/>
      <c r="C23" s="3"/>
      <c r="H23" s="1">
        <v>2</v>
      </c>
    </row>
    <row r="24" spans="1:12" x14ac:dyDescent="0.3">
      <c r="A24" s="1">
        <v>1</v>
      </c>
      <c r="B24" s="13"/>
      <c r="C24" s="3"/>
      <c r="H24" s="1">
        <v>1</v>
      </c>
    </row>
    <row r="25" spans="1:12" x14ac:dyDescent="0.3">
      <c r="A25" s="1">
        <v>0.75</v>
      </c>
      <c r="B25" s="13"/>
      <c r="C25" s="3"/>
      <c r="H25" s="1">
        <v>0.75</v>
      </c>
    </row>
    <row r="26" spans="1:12" x14ac:dyDescent="0.3">
      <c r="A26" s="1">
        <v>0.5</v>
      </c>
      <c r="B26" s="13"/>
      <c r="C26" s="3"/>
      <c r="H26" s="1">
        <v>0.5</v>
      </c>
    </row>
    <row r="27" spans="1:12" x14ac:dyDescent="0.3">
      <c r="A27" s="1">
        <v>0.25</v>
      </c>
      <c r="B27" s="13"/>
      <c r="C27" s="3"/>
      <c r="H27" s="1">
        <v>0.25</v>
      </c>
    </row>
    <row r="28" spans="1:12" x14ac:dyDescent="0.3">
      <c r="A28" s="1">
        <v>0.1</v>
      </c>
      <c r="B28" s="13"/>
      <c r="C28" s="3"/>
      <c r="H28" s="1">
        <v>0.1</v>
      </c>
    </row>
    <row r="29" spans="1:12" x14ac:dyDescent="0.3">
      <c r="A29" s="1">
        <v>0.05</v>
      </c>
      <c r="B29" s="13"/>
      <c r="C29" s="3"/>
      <c r="H29" s="1">
        <v>0.05</v>
      </c>
    </row>
    <row r="30" spans="1:12" x14ac:dyDescent="0.3">
      <c r="A30" s="1">
        <v>0.02</v>
      </c>
      <c r="B30" s="13"/>
      <c r="C30" s="3"/>
      <c r="H30" s="1">
        <v>0.02</v>
      </c>
    </row>
    <row r="31" spans="1:12" x14ac:dyDescent="0.3">
      <c r="A31" s="1">
        <v>0.01</v>
      </c>
      <c r="B31" s="13"/>
      <c r="C31" s="3"/>
      <c r="H31" s="1">
        <v>0.01</v>
      </c>
    </row>
    <row r="32" spans="1:12" x14ac:dyDescent="0.3">
      <c r="A32" s="7">
        <v>0</v>
      </c>
      <c r="B32" s="14"/>
      <c r="C32" s="9"/>
      <c r="D32" s="8"/>
      <c r="E32" s="8"/>
      <c r="F32" s="8"/>
      <c r="H32" s="7">
        <v>0</v>
      </c>
      <c r="I32" s="8"/>
      <c r="J32" s="8"/>
      <c r="K32" s="8"/>
      <c r="L32" s="10"/>
    </row>
    <row r="33" spans="1:12" x14ac:dyDescent="0.3">
      <c r="A33" s="1">
        <v>-0.01</v>
      </c>
      <c r="B33" s="13"/>
      <c r="C33" s="3"/>
      <c r="D33" s="10"/>
      <c r="E33" s="10"/>
      <c r="F33" s="10"/>
      <c r="H33" s="1">
        <v>-0.01</v>
      </c>
      <c r="I33" s="10"/>
      <c r="J33" s="10"/>
      <c r="K33" s="10"/>
      <c r="L33" s="10"/>
    </row>
    <row r="34" spans="1:12" x14ac:dyDescent="0.3">
      <c r="A34" s="1">
        <v>-0.02</v>
      </c>
      <c r="B34" s="13"/>
      <c r="C34" s="3"/>
      <c r="D34" s="10"/>
      <c r="E34" s="10"/>
      <c r="F34" s="10"/>
      <c r="H34" s="1">
        <v>-0.02</v>
      </c>
      <c r="I34" s="10"/>
      <c r="J34" s="10"/>
      <c r="K34" s="10"/>
      <c r="L34" s="10"/>
    </row>
    <row r="35" spans="1:12" x14ac:dyDescent="0.3">
      <c r="A35" s="1">
        <v>-0.05</v>
      </c>
      <c r="B35" s="13"/>
      <c r="C35" s="3"/>
      <c r="D35" s="10"/>
      <c r="E35" s="10"/>
      <c r="F35" s="10"/>
      <c r="H35" s="1">
        <v>-0.05</v>
      </c>
      <c r="I35" s="10"/>
      <c r="J35" s="10"/>
      <c r="K35" s="10"/>
      <c r="L35" s="10"/>
    </row>
    <row r="36" spans="1:12" x14ac:dyDescent="0.3">
      <c r="A36" s="1">
        <v>-0.1</v>
      </c>
      <c r="B36" s="13"/>
      <c r="C36" s="3"/>
      <c r="D36" s="10"/>
      <c r="E36" s="10"/>
      <c r="F36" s="10"/>
      <c r="H36" s="1">
        <v>-0.1</v>
      </c>
      <c r="I36" s="10"/>
      <c r="J36" s="10"/>
      <c r="K36" s="10"/>
      <c r="L36" s="10"/>
    </row>
    <row r="37" spans="1:12" x14ac:dyDescent="0.3">
      <c r="A37" s="1">
        <v>-0.25</v>
      </c>
      <c r="B37" s="13"/>
      <c r="C37" s="3"/>
      <c r="D37" s="10"/>
      <c r="E37" s="10"/>
      <c r="F37" s="10"/>
      <c r="H37" s="1">
        <v>-0.25</v>
      </c>
      <c r="I37" s="10"/>
      <c r="J37" s="10"/>
      <c r="K37" s="10"/>
      <c r="L37" s="10"/>
    </row>
    <row r="38" spans="1:12" x14ac:dyDescent="0.3">
      <c r="A38" s="1">
        <v>-0.5</v>
      </c>
      <c r="B38" s="13"/>
      <c r="C38" s="3"/>
      <c r="D38" s="10"/>
      <c r="E38" s="10"/>
      <c r="F38" s="10"/>
      <c r="H38" s="1">
        <v>-0.5</v>
      </c>
      <c r="I38" s="10"/>
      <c r="J38" s="10"/>
      <c r="K38" s="10"/>
      <c r="L38" s="10"/>
    </row>
    <row r="39" spans="1:12" x14ac:dyDescent="0.3">
      <c r="A39" s="1">
        <v>-0.75</v>
      </c>
      <c r="B39" s="13"/>
      <c r="C39" s="3"/>
      <c r="D39" s="10"/>
      <c r="E39" s="10"/>
      <c r="F39" s="10"/>
      <c r="H39" s="1">
        <v>-0.75</v>
      </c>
      <c r="I39" s="10"/>
      <c r="J39" s="10"/>
      <c r="K39" s="10"/>
      <c r="L39" s="10"/>
    </row>
    <row r="40" spans="1:12" x14ac:dyDescent="0.3">
      <c r="A40" s="1">
        <v>-1</v>
      </c>
      <c r="B40" s="13"/>
      <c r="C40" s="3"/>
      <c r="D40" s="10"/>
      <c r="E40" s="10"/>
      <c r="F40" s="10"/>
      <c r="H40" s="1">
        <v>-1</v>
      </c>
      <c r="I40" s="10"/>
      <c r="J40" s="10"/>
      <c r="K40" s="10"/>
      <c r="L40" s="10"/>
    </row>
    <row r="41" spans="1:12" x14ac:dyDescent="0.3">
      <c r="A41" s="1">
        <v>-2</v>
      </c>
      <c r="B41" s="13"/>
      <c r="C41" s="3"/>
      <c r="D41" s="10"/>
      <c r="E41" s="10"/>
      <c r="F41" s="10"/>
      <c r="H41" s="1">
        <v>-2</v>
      </c>
      <c r="I41" s="10"/>
      <c r="J41" s="10"/>
      <c r="K41" s="10"/>
      <c r="L41" s="10"/>
    </row>
    <row r="42" spans="1:12" x14ac:dyDescent="0.3">
      <c r="A42" s="1">
        <v>-3</v>
      </c>
      <c r="B42" s="13"/>
      <c r="C42" s="3"/>
      <c r="D42" s="10"/>
      <c r="E42" s="10"/>
      <c r="F42" s="10"/>
      <c r="H42" s="1">
        <v>-3</v>
      </c>
      <c r="I42" s="10"/>
      <c r="J42" s="10"/>
      <c r="K42" s="10"/>
      <c r="L42" s="10"/>
    </row>
    <row r="43" spans="1:12" x14ac:dyDescent="0.3">
      <c r="A43" s="1">
        <v>-3.25</v>
      </c>
      <c r="B43" s="13"/>
      <c r="C43" s="3"/>
      <c r="D43" s="10"/>
      <c r="E43" s="10"/>
      <c r="F43" s="10"/>
      <c r="H43" s="1">
        <v>-3.25</v>
      </c>
      <c r="I43" s="10"/>
      <c r="J43" s="10"/>
      <c r="K43" s="10"/>
      <c r="L43" s="10"/>
    </row>
    <row r="44" spans="1:12" x14ac:dyDescent="0.3">
      <c r="A44" s="1">
        <v>-3.5</v>
      </c>
      <c r="B44" s="13"/>
      <c r="C44" s="3"/>
      <c r="D44" s="10"/>
      <c r="E44" s="10"/>
      <c r="F44" s="10"/>
      <c r="H44" s="1">
        <v>-3.5</v>
      </c>
      <c r="I44" s="10"/>
      <c r="J44" s="10"/>
      <c r="K44" s="10"/>
      <c r="L44" s="10"/>
    </row>
    <row r="45" spans="1:12" x14ac:dyDescent="0.3">
      <c r="A45" s="1">
        <v>-3.75</v>
      </c>
      <c r="B45" s="13"/>
      <c r="C45" s="3"/>
      <c r="D45" s="10"/>
      <c r="E45" s="10"/>
      <c r="F45" s="10"/>
      <c r="H45" s="1">
        <v>-3.75</v>
      </c>
      <c r="I45" s="10"/>
      <c r="J45" s="10"/>
      <c r="K45" s="10"/>
      <c r="L45" s="10"/>
    </row>
    <row r="46" spans="1:12" x14ac:dyDescent="0.3">
      <c r="A46" s="1">
        <v>-4</v>
      </c>
      <c r="B46" s="13"/>
      <c r="C46" s="3"/>
      <c r="D46" s="10"/>
      <c r="E46" s="10"/>
      <c r="F46" s="10"/>
      <c r="H46" s="1">
        <v>-4</v>
      </c>
      <c r="I46" s="10"/>
      <c r="J46" s="10"/>
      <c r="K46" s="10"/>
      <c r="L46" s="10"/>
    </row>
    <row r="47" spans="1:12" x14ac:dyDescent="0.3">
      <c r="A47" s="1">
        <v>-4.4000000000000004</v>
      </c>
      <c r="B47" s="13"/>
      <c r="C47" s="3"/>
      <c r="D47" s="10"/>
      <c r="E47" s="10"/>
      <c r="F47" s="10"/>
      <c r="H47" s="1">
        <v>-4.4000000000000004</v>
      </c>
      <c r="I47" s="10"/>
      <c r="J47" s="10"/>
      <c r="K47" s="10"/>
      <c r="L47" s="10"/>
    </row>
    <row r="48" spans="1:12" x14ac:dyDescent="0.3">
      <c r="A48" s="1">
        <v>-4.5</v>
      </c>
      <c r="B48" s="13"/>
      <c r="C48" s="3"/>
      <c r="D48" s="10"/>
      <c r="E48" s="10"/>
      <c r="F48" s="10"/>
      <c r="H48" s="1">
        <v>-4.5</v>
      </c>
      <c r="I48" s="10"/>
      <c r="J48" s="10"/>
      <c r="K48" s="10"/>
      <c r="L48" s="10"/>
    </row>
    <row r="49" spans="1:12" x14ac:dyDescent="0.3">
      <c r="A49" s="1">
        <v>-4.5999999999999996</v>
      </c>
      <c r="B49" s="13"/>
      <c r="C49" s="3"/>
      <c r="D49" s="10"/>
      <c r="E49" s="10"/>
      <c r="F49" s="10"/>
      <c r="H49" s="1">
        <v>-4.5999999999999996</v>
      </c>
      <c r="I49" s="10"/>
      <c r="J49" s="10"/>
      <c r="K49" s="10"/>
      <c r="L49" s="10"/>
    </row>
    <row r="50" spans="1:12" x14ac:dyDescent="0.3">
      <c r="A50" s="1">
        <v>-4.75</v>
      </c>
      <c r="B50" s="13"/>
      <c r="C50" s="3"/>
      <c r="D50" s="10"/>
      <c r="E50" s="10"/>
      <c r="F50" s="10"/>
      <c r="H50" s="1">
        <v>-4.75</v>
      </c>
      <c r="I50" s="10"/>
      <c r="J50" s="10"/>
      <c r="K50" s="10"/>
      <c r="L50" s="10"/>
    </row>
    <row r="51" spans="1:12" x14ac:dyDescent="0.3">
      <c r="A51" s="1">
        <v>-4.9000000000000004</v>
      </c>
      <c r="B51" s="13"/>
      <c r="C51" s="3"/>
      <c r="D51" s="10"/>
      <c r="E51" s="10"/>
      <c r="F51" s="10"/>
      <c r="H51" s="1">
        <v>-4.9000000000000004</v>
      </c>
      <c r="I51" s="10"/>
      <c r="J51" s="10"/>
      <c r="K51" s="10"/>
      <c r="L51" s="10"/>
    </row>
    <row r="52" spans="1:12" x14ac:dyDescent="0.3">
      <c r="A52" s="1">
        <v>-5</v>
      </c>
      <c r="B52" s="13"/>
      <c r="C52" s="3"/>
      <c r="D52" s="10"/>
      <c r="E52" s="10"/>
      <c r="F52" s="10"/>
      <c r="H52" s="1">
        <v>-5</v>
      </c>
      <c r="I52" s="10"/>
      <c r="J52" s="10"/>
      <c r="K52" s="10"/>
      <c r="L52" s="10"/>
    </row>
    <row r="53" spans="1:12" x14ac:dyDescent="0.3">
      <c r="A53" s="1">
        <v>-5.0999999999999996</v>
      </c>
      <c r="B53" s="13"/>
      <c r="C53" s="3"/>
      <c r="D53" s="10"/>
      <c r="E53" s="10"/>
      <c r="F53" s="10"/>
      <c r="H53" s="1">
        <v>-5.0999999999999996</v>
      </c>
      <c r="I53" s="10"/>
      <c r="J53" s="10"/>
      <c r="K53" s="10"/>
      <c r="L53" s="10"/>
    </row>
    <row r="54" spans="1:12" x14ac:dyDescent="0.3">
      <c r="A54" s="1">
        <v>-5.2</v>
      </c>
      <c r="B54" s="13"/>
      <c r="C54" s="3"/>
      <c r="D54" s="10"/>
      <c r="E54" s="10"/>
      <c r="F54" s="10"/>
      <c r="H54" s="1">
        <v>-5.2</v>
      </c>
      <c r="I54" s="10"/>
      <c r="J54" s="10"/>
      <c r="K54" s="10"/>
      <c r="L54" s="10"/>
    </row>
    <row r="61" spans="1:12" x14ac:dyDescent="0.3">
      <c r="J61" s="1"/>
      <c r="K61" s="2"/>
    </row>
    <row r="62" spans="1:12" x14ac:dyDescent="0.3">
      <c r="J62" s="1"/>
      <c r="K62" s="2"/>
    </row>
    <row r="63" spans="1:12" x14ac:dyDescent="0.3">
      <c r="K63" s="2"/>
    </row>
    <row r="64" spans="1:12" x14ac:dyDescent="0.3">
      <c r="J64" s="1"/>
    </row>
  </sheetData>
  <mergeCells count="4">
    <mergeCell ref="B4:D4"/>
    <mergeCell ref="B5:D5"/>
    <mergeCell ref="A8:F8"/>
    <mergeCell ref="H8:L8"/>
  </mergeCells>
  <pageMargins left="0.7" right="0.7" top="0.78740157499999996" bottom="0.78740157499999996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Single-ended</vt:lpstr>
      <vt:lpstr>Fully Differential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Schule</dc:creator>
  <cp:lastModifiedBy>Simon Schule</cp:lastModifiedBy>
  <cp:lastPrinted>2020-06-23T11:48:45Z</cp:lastPrinted>
  <dcterms:created xsi:type="dcterms:W3CDTF">2020-06-08T07:35:06Z</dcterms:created>
  <dcterms:modified xsi:type="dcterms:W3CDTF">2020-07-31T06:49:23Z</dcterms:modified>
</cp:coreProperties>
</file>