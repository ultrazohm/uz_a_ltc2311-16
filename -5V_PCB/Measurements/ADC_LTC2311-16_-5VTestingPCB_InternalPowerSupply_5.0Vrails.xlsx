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\Desktop\Bachelorarbeit\"/>
    </mc:Choice>
  </mc:AlternateContent>
  <xr:revisionPtr revIDLastSave="0" documentId="13_ncr:1_{7DC9E92A-1703-44FB-9C93-C7ECE1CAA08E}" xr6:coauthVersionLast="45" xr6:coauthVersionMax="45" xr10:uidLastSave="{00000000-0000-0000-0000-000000000000}"/>
  <bookViews>
    <workbookView xWindow="-108" yWindow="-108" windowWidth="23256" windowHeight="13176" xr2:uid="{495E718F-06B1-4643-B7E0-98C6B6E2ABE9}"/>
  </bookViews>
  <sheets>
    <sheet name="Single-ended" sheetId="3" r:id="rId1"/>
    <sheet name="Fully Differential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8" i="4" l="1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41" i="3" l="1"/>
  <c r="D40" i="3"/>
  <c r="D39" i="3"/>
  <c r="D16" i="3"/>
  <c r="D17" i="3"/>
  <c r="D15" i="3"/>
  <c r="D9" i="3" l="1"/>
  <c r="D10" i="3"/>
  <c r="D11" i="3"/>
  <c r="D12" i="3"/>
  <c r="D13" i="3"/>
  <c r="D14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42" i="3"/>
  <c r="D43" i="3"/>
  <c r="D44" i="3"/>
  <c r="D45" i="3"/>
  <c r="D46" i="3"/>
  <c r="D47" i="3"/>
  <c r="D48" i="3"/>
  <c r="D8" i="3"/>
</calcChain>
</file>

<file path=xl/sharedStrings.xml><?xml version="1.0" encoding="utf-8"?>
<sst xmlns="http://schemas.openxmlformats.org/spreadsheetml/2006/main" count="38" uniqueCount="22">
  <si>
    <t>In_P</t>
  </si>
  <si>
    <t>In_N</t>
  </si>
  <si>
    <t>Vout P to N</t>
  </si>
  <si>
    <t>GND</t>
  </si>
  <si>
    <t>abs deviation</t>
  </si>
  <si>
    <t>rel deviation</t>
  </si>
  <si>
    <r>
      <t xml:space="preserve">Single Ended vs GND with </t>
    </r>
    <r>
      <rPr>
        <b/>
        <sz val="11"/>
        <color theme="1"/>
        <rFont val="Calibri"/>
        <family val="2"/>
        <scheme val="minor"/>
      </rPr>
      <t>10kOhm, 0.1%</t>
    </r>
    <r>
      <rPr>
        <sz val="11"/>
        <color theme="1"/>
        <rFont val="Calibri"/>
        <family val="2"/>
        <scheme val="minor"/>
      </rPr>
      <t xml:space="preserve"> feedback resistors</t>
    </r>
  </si>
  <si>
    <r>
      <t xml:space="preserve">Input: 100pF to GND, 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Calibri"/>
        <family val="2"/>
      </rPr>
      <t xml:space="preserve">5.0V by internal power supply </t>
    </r>
  </si>
  <si>
    <t>VCC+</t>
  </si>
  <si>
    <t>VCC-</t>
  </si>
  <si>
    <t>L = 100uH</t>
  </si>
  <si>
    <t>Buf_P to GND</t>
  </si>
  <si>
    <t>Buf_N to GND</t>
  </si>
  <si>
    <t>Buf_P to Buf_N</t>
  </si>
  <si>
    <t>+5,005 V</t>
  </si>
  <si>
    <t>-5,001 V</t>
  </si>
  <si>
    <r>
      <rPr>
        <sz val="11"/>
        <color rgb="FFFF0000"/>
        <rFont val="Calibri"/>
        <family val="2"/>
        <scheme val="minor"/>
      </rPr>
      <t>!</t>
    </r>
    <r>
      <rPr>
        <sz val="11"/>
        <color theme="1"/>
        <rFont val="Calibri"/>
        <family val="2"/>
        <scheme val="minor"/>
      </rPr>
      <t xml:space="preserve"> measurements vary in 10uV scope</t>
    </r>
  </si>
  <si>
    <t>2,5V + V_in/2 (referenced to GND)</t>
  </si>
  <si>
    <t>2,5V - V_in/2 (referenced to GND)</t>
  </si>
  <si>
    <t>In P to N</t>
  </si>
  <si>
    <r>
      <t xml:space="preserve">Fully differential with </t>
    </r>
    <r>
      <rPr>
        <b/>
        <sz val="11"/>
        <color theme="1"/>
        <rFont val="Calibri"/>
        <family val="2"/>
        <scheme val="minor"/>
      </rPr>
      <t>10kOhm, 0.1%</t>
    </r>
    <r>
      <rPr>
        <sz val="11"/>
        <color theme="1"/>
        <rFont val="Calibri"/>
        <family val="2"/>
        <scheme val="minor"/>
      </rPr>
      <t xml:space="preserve"> feedback resistors</t>
    </r>
  </si>
  <si>
    <r>
      <rPr>
        <sz val="11"/>
        <color rgb="FFFF0000"/>
        <rFont val="Calibri"/>
        <family val="2"/>
        <scheme val="minor"/>
      </rPr>
      <t xml:space="preserve">! </t>
    </r>
    <r>
      <rPr>
        <sz val="11"/>
        <color theme="1"/>
        <rFont val="Calibri"/>
        <family val="2"/>
        <scheme val="minor"/>
      </rPr>
      <t>measurements vary in 10uV scope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</si>
</sst>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\ &quot;mV&quot;"/>
    <numFmt numFmtId="166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1" xfId="0" applyBorder="1"/>
    <xf numFmtId="2" fontId="0" fillId="0" borderId="2" xfId="0" applyNumberFormat="1" applyFill="1" applyBorder="1"/>
    <xf numFmtId="0" fontId="0" fillId="0" borderId="2" xfId="0" applyFill="1" applyBorder="1"/>
    <xf numFmtId="0" fontId="0" fillId="0" borderId="2" xfId="0" applyBorder="1"/>
    <xf numFmtId="165" fontId="0" fillId="0" borderId="2" xfId="0" applyNumberFormat="1" applyBorder="1"/>
    <xf numFmtId="0" fontId="0" fillId="0" borderId="0" xfId="0" applyFill="1" applyBorder="1"/>
    <xf numFmtId="0" fontId="0" fillId="0" borderId="1" xfId="0" quotePrefix="1" applyBorder="1"/>
    <xf numFmtId="0" fontId="0" fillId="0" borderId="0" xfId="0" quotePrefix="1"/>
    <xf numFmtId="166" fontId="0" fillId="0" borderId="0" xfId="0" applyNumberFormat="1"/>
    <xf numFmtId="166" fontId="0" fillId="0" borderId="2" xfId="0" applyNumberFormat="1" applyFill="1" applyBorder="1"/>
    <xf numFmtId="0" fontId="0" fillId="0" borderId="1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0F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Single-ended to Ground total range -5V to +5V</a:t>
            </a:r>
            <a:endParaRPr lang="de-DE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'Single-ended'!$A$8:$A$48</c:f>
              <c:numCache>
                <c:formatCode>0.00</c:formatCode>
                <c:ptCount val="41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  <c:pt idx="7">
                  <c:v>3.75</c:v>
                </c:pt>
                <c:pt idx="8">
                  <c:v>3.5</c:v>
                </c:pt>
                <c:pt idx="9">
                  <c:v>3.25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0.75</c:v>
                </c:pt>
                <c:pt idx="14">
                  <c:v>0.5</c:v>
                </c:pt>
                <c:pt idx="15">
                  <c:v>0.25</c:v>
                </c:pt>
                <c:pt idx="16">
                  <c:v>0.1</c:v>
                </c:pt>
                <c:pt idx="17">
                  <c:v>0.05</c:v>
                </c:pt>
                <c:pt idx="18">
                  <c:v>0.02</c:v>
                </c:pt>
                <c:pt idx="19">
                  <c:v>0.01</c:v>
                </c:pt>
                <c:pt idx="20">
                  <c:v>0</c:v>
                </c:pt>
                <c:pt idx="21">
                  <c:v>-0.01</c:v>
                </c:pt>
                <c:pt idx="22">
                  <c:v>-0.02</c:v>
                </c:pt>
                <c:pt idx="23">
                  <c:v>-0.05</c:v>
                </c:pt>
                <c:pt idx="24">
                  <c:v>-0.1</c:v>
                </c:pt>
                <c:pt idx="25">
                  <c:v>-0.25</c:v>
                </c:pt>
                <c:pt idx="26">
                  <c:v>-0.5</c:v>
                </c:pt>
                <c:pt idx="27">
                  <c:v>-0.75</c:v>
                </c:pt>
                <c:pt idx="28">
                  <c:v>-1</c:v>
                </c:pt>
                <c:pt idx="29">
                  <c:v>-2</c:v>
                </c:pt>
                <c:pt idx="30">
                  <c:v>-3</c:v>
                </c:pt>
                <c:pt idx="31">
                  <c:v>-3.25</c:v>
                </c:pt>
                <c:pt idx="32">
                  <c:v>-3.5</c:v>
                </c:pt>
                <c:pt idx="33">
                  <c:v>-3.75</c:v>
                </c:pt>
                <c:pt idx="34">
                  <c:v>-4</c:v>
                </c:pt>
                <c:pt idx="35">
                  <c:v>-4.4000000000000004</c:v>
                </c:pt>
                <c:pt idx="36">
                  <c:v>-4.5</c:v>
                </c:pt>
                <c:pt idx="37">
                  <c:v>-4.5999999999999996</c:v>
                </c:pt>
                <c:pt idx="38">
                  <c:v>-4.75</c:v>
                </c:pt>
                <c:pt idx="39">
                  <c:v>-4.9000000000000004</c:v>
                </c:pt>
                <c:pt idx="40">
                  <c:v>-5</c:v>
                </c:pt>
              </c:numCache>
            </c:numRef>
          </c:xVal>
          <c:yVal>
            <c:numRef>
              <c:f>'Single-ended'!$B$8:$B$48</c:f>
              <c:numCache>
                <c:formatCode>0.0000</c:formatCode>
                <c:ptCount val="41"/>
                <c:pt idx="0">
                  <c:v>4.9526000000000003</c:v>
                </c:pt>
                <c:pt idx="1">
                  <c:v>4.9013999999999998</c:v>
                </c:pt>
                <c:pt idx="2">
                  <c:v>4.7516499999999997</c:v>
                </c:pt>
                <c:pt idx="3">
                  <c:v>4.6014999999999997</c:v>
                </c:pt>
                <c:pt idx="4">
                  <c:v>4.5014000000000003</c:v>
                </c:pt>
                <c:pt idx="5">
                  <c:v>4.4012900000000004</c:v>
                </c:pt>
                <c:pt idx="6">
                  <c:v>4.0008699999999999</c:v>
                </c:pt>
                <c:pt idx="7">
                  <c:v>3.7502</c:v>
                </c:pt>
                <c:pt idx="8">
                  <c:v>3.5003000000000002</c:v>
                </c:pt>
                <c:pt idx="9">
                  <c:v>3.2500200000000001</c:v>
                </c:pt>
                <c:pt idx="10">
                  <c:v>3.0000399999999998</c:v>
                </c:pt>
                <c:pt idx="11">
                  <c:v>1.9997199999999999</c:v>
                </c:pt>
                <c:pt idx="12">
                  <c:v>0.99972000000000005</c:v>
                </c:pt>
                <c:pt idx="13">
                  <c:v>0.74990999999999997</c:v>
                </c:pt>
                <c:pt idx="14">
                  <c:v>0.49973000000000001</c:v>
                </c:pt>
                <c:pt idx="15">
                  <c:v>0.24994</c:v>
                </c:pt>
                <c:pt idx="16">
                  <c:v>9.9830000000000002E-2</c:v>
                </c:pt>
                <c:pt idx="17">
                  <c:v>4.9799999999999997E-2</c:v>
                </c:pt>
                <c:pt idx="18">
                  <c:v>1.9949999999999999E-2</c:v>
                </c:pt>
                <c:pt idx="19">
                  <c:v>9.8600000000000007E-3</c:v>
                </c:pt>
                <c:pt idx="20">
                  <c:v>1.4999999999999999E-4</c:v>
                </c:pt>
                <c:pt idx="21">
                  <c:v>-1.042E-2</c:v>
                </c:pt>
                <c:pt idx="22">
                  <c:v>-2.0490000000000001E-2</c:v>
                </c:pt>
                <c:pt idx="23">
                  <c:v>-5.0369999999999998E-2</c:v>
                </c:pt>
                <c:pt idx="24">
                  <c:v>-0.10038999999999999</c:v>
                </c:pt>
                <c:pt idx="25">
                  <c:v>-0.25048999999999999</c:v>
                </c:pt>
                <c:pt idx="26">
                  <c:v>-0.50031000000000003</c:v>
                </c:pt>
                <c:pt idx="27">
                  <c:v>-0.75048999999999999</c:v>
                </c:pt>
                <c:pt idx="28">
                  <c:v>-1.0003</c:v>
                </c:pt>
                <c:pt idx="29">
                  <c:v>-2.0003000000000002</c:v>
                </c:pt>
                <c:pt idx="30">
                  <c:v>-3.0006900000000001</c:v>
                </c:pt>
                <c:pt idx="31">
                  <c:v>-3.2505999999999999</c:v>
                </c:pt>
                <c:pt idx="32">
                  <c:v>-3.5009000000000001</c:v>
                </c:pt>
                <c:pt idx="33">
                  <c:v>-3.7507799999999998</c:v>
                </c:pt>
                <c:pt idx="34">
                  <c:v>-4.0003000000000002</c:v>
                </c:pt>
                <c:pt idx="35">
                  <c:v>-4.4001999999999999</c:v>
                </c:pt>
                <c:pt idx="36">
                  <c:v>-4.5003000000000002</c:v>
                </c:pt>
                <c:pt idx="37">
                  <c:v>-4.6003999999999996</c:v>
                </c:pt>
                <c:pt idx="38">
                  <c:v>-4.7506000000000004</c:v>
                </c:pt>
                <c:pt idx="39">
                  <c:v>-4.8998999999999997</c:v>
                </c:pt>
                <c:pt idx="40">
                  <c:v>-4.9486999999999997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75-4283-BE50-8DC855130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609128"/>
        <c:axId val="227613392"/>
      </c:scatterChart>
      <c:valAx>
        <c:axId val="227609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7613392"/>
        <c:crosses val="autoZero"/>
        <c:crossBetween val="midCat"/>
      </c:valAx>
      <c:valAx>
        <c:axId val="22761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7609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baseline="0">
                <a:effectLst/>
              </a:rPr>
              <a:t>absolute deviation OUT-IN</a:t>
            </a:r>
            <a:endParaRPr lang="de-DE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'Single-ended'!$A$9:$A$47</c:f>
              <c:numCache>
                <c:formatCode>0.00</c:formatCode>
                <c:ptCount val="39"/>
                <c:pt idx="0">
                  <c:v>4.9000000000000004</c:v>
                </c:pt>
                <c:pt idx="1">
                  <c:v>4.75</c:v>
                </c:pt>
                <c:pt idx="2">
                  <c:v>4.5999999999999996</c:v>
                </c:pt>
                <c:pt idx="3">
                  <c:v>4.5</c:v>
                </c:pt>
                <c:pt idx="4">
                  <c:v>4.4000000000000004</c:v>
                </c:pt>
                <c:pt idx="5">
                  <c:v>4</c:v>
                </c:pt>
                <c:pt idx="6">
                  <c:v>3.75</c:v>
                </c:pt>
                <c:pt idx="7">
                  <c:v>3.5</c:v>
                </c:pt>
                <c:pt idx="8">
                  <c:v>3.25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0.75</c:v>
                </c:pt>
                <c:pt idx="13">
                  <c:v>0.5</c:v>
                </c:pt>
                <c:pt idx="14">
                  <c:v>0.25</c:v>
                </c:pt>
                <c:pt idx="15">
                  <c:v>0.1</c:v>
                </c:pt>
                <c:pt idx="16">
                  <c:v>0.05</c:v>
                </c:pt>
                <c:pt idx="17">
                  <c:v>0.02</c:v>
                </c:pt>
                <c:pt idx="18">
                  <c:v>0.01</c:v>
                </c:pt>
                <c:pt idx="19">
                  <c:v>0</c:v>
                </c:pt>
                <c:pt idx="20">
                  <c:v>-0.01</c:v>
                </c:pt>
                <c:pt idx="21">
                  <c:v>-0.02</c:v>
                </c:pt>
                <c:pt idx="22">
                  <c:v>-0.05</c:v>
                </c:pt>
                <c:pt idx="23">
                  <c:v>-0.1</c:v>
                </c:pt>
                <c:pt idx="24">
                  <c:v>-0.25</c:v>
                </c:pt>
                <c:pt idx="25">
                  <c:v>-0.5</c:v>
                </c:pt>
                <c:pt idx="26">
                  <c:v>-0.75</c:v>
                </c:pt>
                <c:pt idx="27">
                  <c:v>-1</c:v>
                </c:pt>
                <c:pt idx="28">
                  <c:v>-2</c:v>
                </c:pt>
                <c:pt idx="29">
                  <c:v>-3</c:v>
                </c:pt>
                <c:pt idx="30">
                  <c:v>-3.25</c:v>
                </c:pt>
                <c:pt idx="31">
                  <c:v>-3.5</c:v>
                </c:pt>
                <c:pt idx="32">
                  <c:v>-3.75</c:v>
                </c:pt>
                <c:pt idx="33">
                  <c:v>-4</c:v>
                </c:pt>
                <c:pt idx="34">
                  <c:v>-4.4000000000000004</c:v>
                </c:pt>
                <c:pt idx="35">
                  <c:v>-4.5</c:v>
                </c:pt>
                <c:pt idx="36">
                  <c:v>-4.5999999999999996</c:v>
                </c:pt>
                <c:pt idx="37">
                  <c:v>-4.75</c:v>
                </c:pt>
                <c:pt idx="38">
                  <c:v>-4.9000000000000004</c:v>
                </c:pt>
              </c:numCache>
            </c:numRef>
          </c:cat>
          <c:val>
            <c:numRef>
              <c:f>'Single-ended'!$D$9:$D$47</c:f>
              <c:numCache>
                <c:formatCode>0.00\ "mV"</c:formatCode>
                <c:ptCount val="39"/>
                <c:pt idx="0">
                  <c:v>1.3999999999994017</c:v>
                </c:pt>
                <c:pt idx="1">
                  <c:v>1.6499999999997073</c:v>
                </c:pt>
                <c:pt idx="2">
                  <c:v>1.5000000000000568</c:v>
                </c:pt>
                <c:pt idx="3">
                  <c:v>1.4000000000002899</c:v>
                </c:pt>
                <c:pt idx="4">
                  <c:v>1.2900000000000134</c:v>
                </c:pt>
                <c:pt idx="5">
                  <c:v>0.86999999999992639</c:v>
                </c:pt>
                <c:pt idx="6">
                  <c:v>0.19999999999997797</c:v>
                </c:pt>
                <c:pt idx="7">
                  <c:v>0.300000000000189</c:v>
                </c:pt>
                <c:pt idx="8">
                  <c:v>2.0000000000131024E-2</c:v>
                </c:pt>
                <c:pt idx="9">
                  <c:v>3.9999999999817959E-2</c:v>
                </c:pt>
                <c:pt idx="10">
                  <c:v>-0.28000000000005798</c:v>
                </c:pt>
                <c:pt idx="11">
                  <c:v>-0.27999999999994696</c:v>
                </c:pt>
                <c:pt idx="12">
                  <c:v>-9.0000000000034497E-2</c:v>
                </c:pt>
                <c:pt idx="13">
                  <c:v>-0.26999999999999247</c:v>
                </c:pt>
                <c:pt idx="14">
                  <c:v>-6.0000000000004494E-2</c:v>
                </c:pt>
                <c:pt idx="15">
                  <c:v>-0.17000000000000348</c:v>
                </c:pt>
                <c:pt idx="16">
                  <c:v>-0.20000000000000573</c:v>
                </c:pt>
                <c:pt idx="17">
                  <c:v>-5.0000000000001432E-2</c:v>
                </c:pt>
                <c:pt idx="18">
                  <c:v>-0.13999999999999951</c:v>
                </c:pt>
                <c:pt idx="19">
                  <c:v>0.15</c:v>
                </c:pt>
                <c:pt idx="20">
                  <c:v>-0.42000000000000026</c:v>
                </c:pt>
                <c:pt idx="21">
                  <c:v>-0.49000000000000088</c:v>
                </c:pt>
                <c:pt idx="22">
                  <c:v>-0.36999999999999533</c:v>
                </c:pt>
                <c:pt idx="23">
                  <c:v>-0.38999999999998758</c:v>
                </c:pt>
                <c:pt idx="24">
                  <c:v>-0.48999999999999044</c:v>
                </c:pt>
                <c:pt idx="25">
                  <c:v>-0.31000000000003247</c:v>
                </c:pt>
                <c:pt idx="26">
                  <c:v>-0.48999999999999044</c:v>
                </c:pt>
                <c:pt idx="27">
                  <c:v>-0.29999999999996696</c:v>
                </c:pt>
                <c:pt idx="28">
                  <c:v>-0.300000000000189</c:v>
                </c:pt>
                <c:pt idx="29">
                  <c:v>-0.69000000000007944</c:v>
                </c:pt>
                <c:pt idx="30">
                  <c:v>-0.59999999999993392</c:v>
                </c:pt>
                <c:pt idx="31">
                  <c:v>-0.90000000000012292</c:v>
                </c:pt>
                <c:pt idx="32">
                  <c:v>-0.77999999999978087</c:v>
                </c:pt>
                <c:pt idx="33">
                  <c:v>-0.300000000000189</c:v>
                </c:pt>
                <c:pt idx="34">
                  <c:v>-0.19999999999953388</c:v>
                </c:pt>
                <c:pt idx="35">
                  <c:v>-0.300000000000189</c:v>
                </c:pt>
                <c:pt idx="36">
                  <c:v>-0.39999999999995595</c:v>
                </c:pt>
                <c:pt idx="37">
                  <c:v>-0.60000000000037801</c:v>
                </c:pt>
                <c:pt idx="38">
                  <c:v>0.10000000000065512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10-4656-B00F-9AF32D91D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0485952"/>
        <c:axId val="230486280"/>
      </c:barChart>
      <c:catAx>
        <c:axId val="230485952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30486280"/>
        <c:crosses val="autoZero"/>
        <c:auto val="1"/>
        <c:lblAlgn val="ctr"/>
        <c:lblOffset val="100"/>
        <c:noMultiLvlLbl val="0"/>
      </c:catAx>
      <c:valAx>
        <c:axId val="23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V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3048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Fully differential with 2.5V common mode </a:t>
            </a:r>
            <a:endParaRPr lang="de-DE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'Fully Differential'!$A$8:$A$48</c:f>
              <c:numCache>
                <c:formatCode>0.00</c:formatCode>
                <c:ptCount val="41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  <c:pt idx="7">
                  <c:v>3.75</c:v>
                </c:pt>
                <c:pt idx="8">
                  <c:v>3.5</c:v>
                </c:pt>
                <c:pt idx="9">
                  <c:v>3.25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0.75</c:v>
                </c:pt>
                <c:pt idx="14">
                  <c:v>0.5</c:v>
                </c:pt>
                <c:pt idx="15">
                  <c:v>0.25</c:v>
                </c:pt>
                <c:pt idx="16">
                  <c:v>0.1</c:v>
                </c:pt>
                <c:pt idx="17">
                  <c:v>0.05</c:v>
                </c:pt>
                <c:pt idx="18">
                  <c:v>0.02</c:v>
                </c:pt>
                <c:pt idx="19">
                  <c:v>0.01</c:v>
                </c:pt>
                <c:pt idx="20">
                  <c:v>0</c:v>
                </c:pt>
                <c:pt idx="21">
                  <c:v>-0.01</c:v>
                </c:pt>
                <c:pt idx="22">
                  <c:v>-0.02</c:v>
                </c:pt>
                <c:pt idx="23">
                  <c:v>-0.05</c:v>
                </c:pt>
                <c:pt idx="24">
                  <c:v>-0.1</c:v>
                </c:pt>
                <c:pt idx="25">
                  <c:v>-0.25</c:v>
                </c:pt>
                <c:pt idx="26">
                  <c:v>-0.5</c:v>
                </c:pt>
                <c:pt idx="27">
                  <c:v>-0.75</c:v>
                </c:pt>
                <c:pt idx="28">
                  <c:v>-1</c:v>
                </c:pt>
                <c:pt idx="29">
                  <c:v>-2</c:v>
                </c:pt>
                <c:pt idx="30">
                  <c:v>-3</c:v>
                </c:pt>
                <c:pt idx="31">
                  <c:v>-3.25</c:v>
                </c:pt>
                <c:pt idx="32">
                  <c:v>-3.5</c:v>
                </c:pt>
                <c:pt idx="33">
                  <c:v>-3.75</c:v>
                </c:pt>
                <c:pt idx="34">
                  <c:v>-4</c:v>
                </c:pt>
                <c:pt idx="35">
                  <c:v>-4.4000000000000004</c:v>
                </c:pt>
                <c:pt idx="36">
                  <c:v>-4.5</c:v>
                </c:pt>
                <c:pt idx="37">
                  <c:v>-4.5999999999999996</c:v>
                </c:pt>
                <c:pt idx="38">
                  <c:v>-4.75</c:v>
                </c:pt>
                <c:pt idx="39">
                  <c:v>-4.9000000000000004</c:v>
                </c:pt>
                <c:pt idx="40">
                  <c:v>-5</c:v>
                </c:pt>
              </c:numCache>
            </c:numRef>
          </c:xVal>
          <c:yVal>
            <c:numRef>
              <c:f>'Fully Differential'!$B$8:$B$48</c:f>
              <c:numCache>
                <c:formatCode>0.0000</c:formatCode>
                <c:ptCount val="41"/>
                <c:pt idx="0">
                  <c:v>4.9526000000000003</c:v>
                </c:pt>
                <c:pt idx="1">
                  <c:v>4.9022800000000002</c:v>
                </c:pt>
                <c:pt idx="2">
                  <c:v>4.7521000000000004</c:v>
                </c:pt>
                <c:pt idx="3">
                  <c:v>4.6017999999999999</c:v>
                </c:pt>
                <c:pt idx="4">
                  <c:v>4.5019999999999998</c:v>
                </c:pt>
                <c:pt idx="5">
                  <c:v>4.4017900000000001</c:v>
                </c:pt>
                <c:pt idx="6">
                  <c:v>4.00258</c:v>
                </c:pt>
                <c:pt idx="7">
                  <c:v>3.7521</c:v>
                </c:pt>
                <c:pt idx="8">
                  <c:v>3.5019300000000002</c:v>
                </c:pt>
                <c:pt idx="9">
                  <c:v>3.2514699999999999</c:v>
                </c:pt>
                <c:pt idx="10">
                  <c:v>3.0022000000000002</c:v>
                </c:pt>
                <c:pt idx="11">
                  <c:v>2.0002399999999998</c:v>
                </c:pt>
                <c:pt idx="12">
                  <c:v>1.0002500000000001</c:v>
                </c:pt>
                <c:pt idx="13">
                  <c:v>0.74978</c:v>
                </c:pt>
                <c:pt idx="14">
                  <c:v>0.50119999999999998</c:v>
                </c:pt>
                <c:pt idx="15">
                  <c:v>0.25072</c:v>
                </c:pt>
                <c:pt idx="16">
                  <c:v>0.10043000000000001</c:v>
                </c:pt>
                <c:pt idx="17">
                  <c:v>5.0310000000000001E-2</c:v>
                </c:pt>
                <c:pt idx="18">
                  <c:v>2.1250000000000002E-2</c:v>
                </c:pt>
                <c:pt idx="19">
                  <c:v>1.01E-2</c:v>
                </c:pt>
                <c:pt idx="20">
                  <c:v>2.0000000000000001E-4</c:v>
                </c:pt>
                <c:pt idx="21">
                  <c:v>-9.4000000000000004E-3</c:v>
                </c:pt>
                <c:pt idx="22">
                  <c:v>-1.933E-2</c:v>
                </c:pt>
                <c:pt idx="23">
                  <c:v>-4.9939999999999998E-2</c:v>
                </c:pt>
                <c:pt idx="24">
                  <c:v>-0.10001</c:v>
                </c:pt>
                <c:pt idx="25">
                  <c:v>-0.24992</c:v>
                </c:pt>
                <c:pt idx="26">
                  <c:v>-0.49887999999999999</c:v>
                </c:pt>
                <c:pt idx="27">
                  <c:v>-0.74939999999999996</c:v>
                </c:pt>
                <c:pt idx="28">
                  <c:v>-0.99987999999999999</c:v>
                </c:pt>
                <c:pt idx="29">
                  <c:v>-1.9996</c:v>
                </c:pt>
                <c:pt idx="30">
                  <c:v>-3.0001000000000002</c:v>
                </c:pt>
                <c:pt idx="31">
                  <c:v>-3.2507999999999999</c:v>
                </c:pt>
                <c:pt idx="32">
                  <c:v>-3.5009000000000001</c:v>
                </c:pt>
                <c:pt idx="33">
                  <c:v>-3.75136</c:v>
                </c:pt>
                <c:pt idx="34">
                  <c:v>-4.0016999999999996</c:v>
                </c:pt>
                <c:pt idx="35">
                  <c:v>-4.4005000000000001</c:v>
                </c:pt>
                <c:pt idx="36">
                  <c:v>-4.5007000000000001</c:v>
                </c:pt>
                <c:pt idx="37">
                  <c:v>-4.6007999999999996</c:v>
                </c:pt>
                <c:pt idx="38">
                  <c:v>-4.7511000000000001</c:v>
                </c:pt>
                <c:pt idx="39">
                  <c:v>-4.9013</c:v>
                </c:pt>
                <c:pt idx="40">
                  <c:v>-4.9523999999999999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2D-4E63-8EBC-913541F1D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156896"/>
        <c:axId val="283162800"/>
      </c:scatterChart>
      <c:valAx>
        <c:axId val="28315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83162800"/>
        <c:crosses val="autoZero"/>
        <c:crossBetween val="midCat"/>
      </c:valAx>
      <c:valAx>
        <c:axId val="28316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8315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baseline="0">
                <a:effectLst/>
              </a:rPr>
              <a:t>absolute deviation OUT-IN</a:t>
            </a:r>
            <a:endParaRPr lang="de-DE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'Fully Differential'!$A$9:$A$47</c:f>
              <c:numCache>
                <c:formatCode>0.00</c:formatCode>
                <c:ptCount val="39"/>
                <c:pt idx="0">
                  <c:v>4.9000000000000004</c:v>
                </c:pt>
                <c:pt idx="1">
                  <c:v>4.75</c:v>
                </c:pt>
                <c:pt idx="2">
                  <c:v>4.5999999999999996</c:v>
                </c:pt>
                <c:pt idx="3">
                  <c:v>4.5</c:v>
                </c:pt>
                <c:pt idx="4">
                  <c:v>4.4000000000000004</c:v>
                </c:pt>
                <c:pt idx="5">
                  <c:v>4</c:v>
                </c:pt>
                <c:pt idx="6">
                  <c:v>3.75</c:v>
                </c:pt>
                <c:pt idx="7">
                  <c:v>3.5</c:v>
                </c:pt>
                <c:pt idx="8">
                  <c:v>3.25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0.75</c:v>
                </c:pt>
                <c:pt idx="13">
                  <c:v>0.5</c:v>
                </c:pt>
                <c:pt idx="14">
                  <c:v>0.25</c:v>
                </c:pt>
                <c:pt idx="15">
                  <c:v>0.1</c:v>
                </c:pt>
                <c:pt idx="16">
                  <c:v>0.05</c:v>
                </c:pt>
                <c:pt idx="17">
                  <c:v>0.02</c:v>
                </c:pt>
                <c:pt idx="18">
                  <c:v>0.01</c:v>
                </c:pt>
                <c:pt idx="19">
                  <c:v>0</c:v>
                </c:pt>
                <c:pt idx="20">
                  <c:v>-0.01</c:v>
                </c:pt>
                <c:pt idx="21">
                  <c:v>-0.02</c:v>
                </c:pt>
                <c:pt idx="22">
                  <c:v>-0.05</c:v>
                </c:pt>
                <c:pt idx="23">
                  <c:v>-0.1</c:v>
                </c:pt>
                <c:pt idx="24">
                  <c:v>-0.25</c:v>
                </c:pt>
                <c:pt idx="25">
                  <c:v>-0.5</c:v>
                </c:pt>
                <c:pt idx="26">
                  <c:v>-0.75</c:v>
                </c:pt>
                <c:pt idx="27">
                  <c:v>-1</c:v>
                </c:pt>
                <c:pt idx="28">
                  <c:v>-2</c:v>
                </c:pt>
                <c:pt idx="29">
                  <c:v>-3</c:v>
                </c:pt>
                <c:pt idx="30">
                  <c:v>-3.25</c:v>
                </c:pt>
                <c:pt idx="31">
                  <c:v>-3.5</c:v>
                </c:pt>
                <c:pt idx="32">
                  <c:v>-3.75</c:v>
                </c:pt>
                <c:pt idx="33">
                  <c:v>-4</c:v>
                </c:pt>
                <c:pt idx="34">
                  <c:v>-4.4000000000000004</c:v>
                </c:pt>
                <c:pt idx="35">
                  <c:v>-4.5</c:v>
                </c:pt>
                <c:pt idx="36">
                  <c:v>-4.5999999999999996</c:v>
                </c:pt>
                <c:pt idx="37">
                  <c:v>-4.75</c:v>
                </c:pt>
                <c:pt idx="38">
                  <c:v>-4.9000000000000004</c:v>
                </c:pt>
              </c:numCache>
            </c:numRef>
          </c:cat>
          <c:val>
            <c:numRef>
              <c:f>'Fully Differential'!$D$9:$D$47</c:f>
              <c:numCache>
                <c:formatCode>0.00\ "mV"</c:formatCode>
                <c:ptCount val="39"/>
                <c:pt idx="0">
                  <c:v>2.2799999999998377</c:v>
                </c:pt>
                <c:pt idx="1">
                  <c:v>2.1000000000004349</c:v>
                </c:pt>
                <c:pt idx="2">
                  <c:v>1.8000000000002458</c:v>
                </c:pt>
                <c:pt idx="3">
                  <c:v>1.9999999999997797</c:v>
                </c:pt>
                <c:pt idx="4">
                  <c:v>1.7899999999997362</c:v>
                </c:pt>
                <c:pt idx="5">
                  <c:v>2.5800000000000267</c:v>
                </c:pt>
                <c:pt idx="6">
                  <c:v>2.0999999999999908</c:v>
                </c:pt>
                <c:pt idx="7">
                  <c:v>1.9300000000002093</c:v>
                </c:pt>
                <c:pt idx="8">
                  <c:v>1.4699999999998603</c:v>
                </c:pt>
                <c:pt idx="9">
                  <c:v>2.2000000000002018</c:v>
                </c:pt>
                <c:pt idx="10">
                  <c:v>0.23999999999979593</c:v>
                </c:pt>
                <c:pt idx="11">
                  <c:v>0.25000000000008349</c:v>
                </c:pt>
                <c:pt idx="12">
                  <c:v>-0.21999999999999797</c:v>
                </c:pt>
                <c:pt idx="13">
                  <c:v>1.1999999999999789</c:v>
                </c:pt>
                <c:pt idx="14">
                  <c:v>0.71999999999999842</c:v>
                </c:pt>
                <c:pt idx="15">
                  <c:v>0.42999999999999983</c:v>
                </c:pt>
                <c:pt idx="16">
                  <c:v>0.30999999999999778</c:v>
                </c:pt>
                <c:pt idx="17">
                  <c:v>1.2500000000000011</c:v>
                </c:pt>
                <c:pt idx="18">
                  <c:v>9.9999999999999395E-2</c:v>
                </c:pt>
                <c:pt idx="19">
                  <c:v>0.2</c:v>
                </c:pt>
                <c:pt idx="20">
                  <c:v>0.59999999999999987</c:v>
                </c:pt>
                <c:pt idx="21">
                  <c:v>0.67000000000000048</c:v>
                </c:pt>
                <c:pt idx="22">
                  <c:v>6.0000000000004494E-2</c:v>
                </c:pt>
                <c:pt idx="23">
                  <c:v>-9.9999999999961231E-3</c:v>
                </c:pt>
                <c:pt idx="24">
                  <c:v>7.999999999999674E-2</c:v>
                </c:pt>
                <c:pt idx="25">
                  <c:v>1.1200000000000099</c:v>
                </c:pt>
                <c:pt idx="26">
                  <c:v>0.60000000000004494</c:v>
                </c:pt>
                <c:pt idx="27">
                  <c:v>0.12000000000000899</c:v>
                </c:pt>
                <c:pt idx="28">
                  <c:v>0.39999999999995595</c:v>
                </c:pt>
                <c:pt idx="29">
                  <c:v>-0.10000000000021103</c:v>
                </c:pt>
                <c:pt idx="30">
                  <c:v>-0.79999999999991189</c:v>
                </c:pt>
                <c:pt idx="31">
                  <c:v>-0.90000000000012292</c:v>
                </c:pt>
                <c:pt idx="32">
                  <c:v>-1.3600000000000279</c:v>
                </c:pt>
                <c:pt idx="33">
                  <c:v>-1.6999999999995907</c:v>
                </c:pt>
                <c:pt idx="34">
                  <c:v>-0.49999999999972289</c:v>
                </c:pt>
                <c:pt idx="35">
                  <c:v>-0.70000000000014495</c:v>
                </c:pt>
                <c:pt idx="36">
                  <c:v>-0.79999999999991189</c:v>
                </c:pt>
                <c:pt idx="37">
                  <c:v>-1.1000000000001009</c:v>
                </c:pt>
                <c:pt idx="38">
                  <c:v>-1.2999999999996348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2-4B4C-BE5A-DE2CEA09A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371568"/>
        <c:axId val="61371896"/>
      </c:barChart>
      <c:catAx>
        <c:axId val="6137156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371896"/>
        <c:crosses val="autoZero"/>
        <c:auto val="1"/>
        <c:lblAlgn val="ctr"/>
        <c:lblOffset val="100"/>
        <c:noMultiLvlLbl val="0"/>
      </c:catAx>
      <c:valAx>
        <c:axId val="61371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V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137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signal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In_P to In_N</c:v>
          </c:tx>
          <c:spPr>
            <a:ln w="28575" cap="rnd">
              <a:solidFill>
                <a:schemeClr val="bg2">
                  <a:lumMod val="9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'Fully Differential'!$A$8:$A$48</c:f>
              <c:numCache>
                <c:formatCode>0.00</c:formatCode>
                <c:ptCount val="41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  <c:pt idx="7">
                  <c:v>3.75</c:v>
                </c:pt>
                <c:pt idx="8">
                  <c:v>3.5</c:v>
                </c:pt>
                <c:pt idx="9">
                  <c:v>3.25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0.75</c:v>
                </c:pt>
                <c:pt idx="14">
                  <c:v>0.5</c:v>
                </c:pt>
                <c:pt idx="15">
                  <c:v>0.25</c:v>
                </c:pt>
                <c:pt idx="16">
                  <c:v>0.1</c:v>
                </c:pt>
                <c:pt idx="17">
                  <c:v>0.05</c:v>
                </c:pt>
                <c:pt idx="18">
                  <c:v>0.02</c:v>
                </c:pt>
                <c:pt idx="19">
                  <c:v>0.01</c:v>
                </c:pt>
                <c:pt idx="20">
                  <c:v>0</c:v>
                </c:pt>
                <c:pt idx="21">
                  <c:v>-0.01</c:v>
                </c:pt>
                <c:pt idx="22">
                  <c:v>-0.02</c:v>
                </c:pt>
                <c:pt idx="23">
                  <c:v>-0.05</c:v>
                </c:pt>
                <c:pt idx="24">
                  <c:v>-0.1</c:v>
                </c:pt>
                <c:pt idx="25">
                  <c:v>-0.25</c:v>
                </c:pt>
                <c:pt idx="26">
                  <c:v>-0.5</c:v>
                </c:pt>
                <c:pt idx="27">
                  <c:v>-0.75</c:v>
                </c:pt>
                <c:pt idx="28">
                  <c:v>-1</c:v>
                </c:pt>
                <c:pt idx="29">
                  <c:v>-2</c:v>
                </c:pt>
                <c:pt idx="30">
                  <c:v>-3</c:v>
                </c:pt>
                <c:pt idx="31">
                  <c:v>-3.25</c:v>
                </c:pt>
                <c:pt idx="32">
                  <c:v>-3.5</c:v>
                </c:pt>
                <c:pt idx="33">
                  <c:v>-3.75</c:v>
                </c:pt>
                <c:pt idx="34">
                  <c:v>-4</c:v>
                </c:pt>
                <c:pt idx="35">
                  <c:v>-4.4000000000000004</c:v>
                </c:pt>
                <c:pt idx="36">
                  <c:v>-4.5</c:v>
                </c:pt>
                <c:pt idx="37">
                  <c:v>-4.5999999999999996</c:v>
                </c:pt>
                <c:pt idx="38">
                  <c:v>-4.75</c:v>
                </c:pt>
                <c:pt idx="39">
                  <c:v>-4.9000000000000004</c:v>
                </c:pt>
                <c:pt idx="40">
                  <c:v>-5</c:v>
                </c:pt>
              </c:numCache>
            </c:numRef>
          </c:cat>
          <c:val>
            <c:numRef>
              <c:f>'Fully Differential'!$A$8:$A$48</c:f>
              <c:numCache>
                <c:formatCode>0.00</c:formatCode>
                <c:ptCount val="41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  <c:pt idx="7">
                  <c:v>3.75</c:v>
                </c:pt>
                <c:pt idx="8">
                  <c:v>3.5</c:v>
                </c:pt>
                <c:pt idx="9">
                  <c:v>3.25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0.75</c:v>
                </c:pt>
                <c:pt idx="14">
                  <c:v>0.5</c:v>
                </c:pt>
                <c:pt idx="15">
                  <c:v>0.25</c:v>
                </c:pt>
                <c:pt idx="16">
                  <c:v>0.1</c:v>
                </c:pt>
                <c:pt idx="17">
                  <c:v>0.05</c:v>
                </c:pt>
                <c:pt idx="18">
                  <c:v>0.02</c:v>
                </c:pt>
                <c:pt idx="19">
                  <c:v>0.01</c:v>
                </c:pt>
                <c:pt idx="20">
                  <c:v>0</c:v>
                </c:pt>
                <c:pt idx="21">
                  <c:v>-0.01</c:v>
                </c:pt>
                <c:pt idx="22">
                  <c:v>-0.02</c:v>
                </c:pt>
                <c:pt idx="23">
                  <c:v>-0.05</c:v>
                </c:pt>
                <c:pt idx="24">
                  <c:v>-0.1</c:v>
                </c:pt>
                <c:pt idx="25">
                  <c:v>-0.25</c:v>
                </c:pt>
                <c:pt idx="26">
                  <c:v>-0.5</c:v>
                </c:pt>
                <c:pt idx="27">
                  <c:v>-0.75</c:v>
                </c:pt>
                <c:pt idx="28">
                  <c:v>-1</c:v>
                </c:pt>
                <c:pt idx="29">
                  <c:v>-2</c:v>
                </c:pt>
                <c:pt idx="30">
                  <c:v>-3</c:v>
                </c:pt>
                <c:pt idx="31">
                  <c:v>-3.25</c:v>
                </c:pt>
                <c:pt idx="32">
                  <c:v>-3.5</c:v>
                </c:pt>
                <c:pt idx="33">
                  <c:v>-3.75</c:v>
                </c:pt>
                <c:pt idx="34">
                  <c:v>-4</c:v>
                </c:pt>
                <c:pt idx="35">
                  <c:v>-4.4000000000000004</c:v>
                </c:pt>
                <c:pt idx="36">
                  <c:v>-4.5</c:v>
                </c:pt>
                <c:pt idx="37">
                  <c:v>-4.5999999999999996</c:v>
                </c:pt>
                <c:pt idx="38">
                  <c:v>-4.75</c:v>
                </c:pt>
                <c:pt idx="39">
                  <c:v>-4.9000000000000004</c:v>
                </c:pt>
                <c:pt idx="40">
                  <c:v>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39-47E3-A4C8-2D2E82C278D6}"/>
            </c:ext>
          </c:extLst>
        </c:ser>
        <c:ser>
          <c:idx val="1"/>
          <c:order val="1"/>
          <c:tx>
            <c:v>Vout_P to Vout_N</c:v>
          </c:tx>
          <c:spPr>
            <a:ln w="38100" cap="flat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'Fully Differential'!$A$8:$A$48</c:f>
              <c:numCache>
                <c:formatCode>0.00</c:formatCode>
                <c:ptCount val="41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  <c:pt idx="7">
                  <c:v>3.75</c:v>
                </c:pt>
                <c:pt idx="8">
                  <c:v>3.5</c:v>
                </c:pt>
                <c:pt idx="9">
                  <c:v>3.25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0.75</c:v>
                </c:pt>
                <c:pt idx="14">
                  <c:v>0.5</c:v>
                </c:pt>
                <c:pt idx="15">
                  <c:v>0.25</c:v>
                </c:pt>
                <c:pt idx="16">
                  <c:v>0.1</c:v>
                </c:pt>
                <c:pt idx="17">
                  <c:v>0.05</c:v>
                </c:pt>
                <c:pt idx="18">
                  <c:v>0.02</c:v>
                </c:pt>
                <c:pt idx="19">
                  <c:v>0.01</c:v>
                </c:pt>
                <c:pt idx="20">
                  <c:v>0</c:v>
                </c:pt>
                <c:pt idx="21">
                  <c:v>-0.01</c:v>
                </c:pt>
                <c:pt idx="22">
                  <c:v>-0.02</c:v>
                </c:pt>
                <c:pt idx="23">
                  <c:v>-0.05</c:v>
                </c:pt>
                <c:pt idx="24">
                  <c:v>-0.1</c:v>
                </c:pt>
                <c:pt idx="25">
                  <c:v>-0.25</c:v>
                </c:pt>
                <c:pt idx="26">
                  <c:v>-0.5</c:v>
                </c:pt>
                <c:pt idx="27">
                  <c:v>-0.75</c:v>
                </c:pt>
                <c:pt idx="28">
                  <c:v>-1</c:v>
                </c:pt>
                <c:pt idx="29">
                  <c:v>-2</c:v>
                </c:pt>
                <c:pt idx="30">
                  <c:v>-3</c:v>
                </c:pt>
                <c:pt idx="31">
                  <c:v>-3.25</c:v>
                </c:pt>
                <c:pt idx="32">
                  <c:v>-3.5</c:v>
                </c:pt>
                <c:pt idx="33">
                  <c:v>-3.75</c:v>
                </c:pt>
                <c:pt idx="34">
                  <c:v>-4</c:v>
                </c:pt>
                <c:pt idx="35">
                  <c:v>-4.4000000000000004</c:v>
                </c:pt>
                <c:pt idx="36">
                  <c:v>-4.5</c:v>
                </c:pt>
                <c:pt idx="37">
                  <c:v>-4.5999999999999996</c:v>
                </c:pt>
                <c:pt idx="38">
                  <c:v>-4.75</c:v>
                </c:pt>
                <c:pt idx="39">
                  <c:v>-4.9000000000000004</c:v>
                </c:pt>
                <c:pt idx="40">
                  <c:v>-5</c:v>
                </c:pt>
              </c:numCache>
            </c:numRef>
          </c:cat>
          <c:val>
            <c:numRef>
              <c:f>'Fully Differential'!$B$8:$B$48</c:f>
              <c:numCache>
                <c:formatCode>0.0000</c:formatCode>
                <c:ptCount val="41"/>
                <c:pt idx="0">
                  <c:v>4.9526000000000003</c:v>
                </c:pt>
                <c:pt idx="1">
                  <c:v>4.9022800000000002</c:v>
                </c:pt>
                <c:pt idx="2">
                  <c:v>4.7521000000000004</c:v>
                </c:pt>
                <c:pt idx="3">
                  <c:v>4.6017999999999999</c:v>
                </c:pt>
                <c:pt idx="4">
                  <c:v>4.5019999999999998</c:v>
                </c:pt>
                <c:pt idx="5">
                  <c:v>4.4017900000000001</c:v>
                </c:pt>
                <c:pt idx="6">
                  <c:v>4.00258</c:v>
                </c:pt>
                <c:pt idx="7">
                  <c:v>3.7521</c:v>
                </c:pt>
                <c:pt idx="8">
                  <c:v>3.5019300000000002</c:v>
                </c:pt>
                <c:pt idx="9">
                  <c:v>3.2514699999999999</c:v>
                </c:pt>
                <c:pt idx="10">
                  <c:v>3.0022000000000002</c:v>
                </c:pt>
                <c:pt idx="11">
                  <c:v>2.0002399999999998</c:v>
                </c:pt>
                <c:pt idx="12">
                  <c:v>1.0002500000000001</c:v>
                </c:pt>
                <c:pt idx="13">
                  <c:v>0.74978</c:v>
                </c:pt>
                <c:pt idx="14">
                  <c:v>0.50119999999999998</c:v>
                </c:pt>
                <c:pt idx="15">
                  <c:v>0.25072</c:v>
                </c:pt>
                <c:pt idx="16">
                  <c:v>0.10043000000000001</c:v>
                </c:pt>
                <c:pt idx="17">
                  <c:v>5.0310000000000001E-2</c:v>
                </c:pt>
                <c:pt idx="18">
                  <c:v>2.1250000000000002E-2</c:v>
                </c:pt>
                <c:pt idx="19">
                  <c:v>1.01E-2</c:v>
                </c:pt>
                <c:pt idx="20">
                  <c:v>2.0000000000000001E-4</c:v>
                </c:pt>
                <c:pt idx="21">
                  <c:v>-9.4000000000000004E-3</c:v>
                </c:pt>
                <c:pt idx="22">
                  <c:v>-1.933E-2</c:v>
                </c:pt>
                <c:pt idx="23">
                  <c:v>-4.9939999999999998E-2</c:v>
                </c:pt>
                <c:pt idx="24">
                  <c:v>-0.10001</c:v>
                </c:pt>
                <c:pt idx="25">
                  <c:v>-0.24992</c:v>
                </c:pt>
                <c:pt idx="26">
                  <c:v>-0.49887999999999999</c:v>
                </c:pt>
                <c:pt idx="27">
                  <c:v>-0.74939999999999996</c:v>
                </c:pt>
                <c:pt idx="28">
                  <c:v>-0.99987999999999999</c:v>
                </c:pt>
                <c:pt idx="29">
                  <c:v>-1.9996</c:v>
                </c:pt>
                <c:pt idx="30">
                  <c:v>-3.0001000000000002</c:v>
                </c:pt>
                <c:pt idx="31">
                  <c:v>-3.2507999999999999</c:v>
                </c:pt>
                <c:pt idx="32">
                  <c:v>-3.5009000000000001</c:v>
                </c:pt>
                <c:pt idx="33">
                  <c:v>-3.75136</c:v>
                </c:pt>
                <c:pt idx="34">
                  <c:v>-4.0016999999999996</c:v>
                </c:pt>
                <c:pt idx="35">
                  <c:v>-4.4005000000000001</c:v>
                </c:pt>
                <c:pt idx="36">
                  <c:v>-4.5007000000000001</c:v>
                </c:pt>
                <c:pt idx="37">
                  <c:v>-4.6007999999999996</c:v>
                </c:pt>
                <c:pt idx="38">
                  <c:v>-4.7511000000000001</c:v>
                </c:pt>
                <c:pt idx="39">
                  <c:v>-4.9013</c:v>
                </c:pt>
                <c:pt idx="40">
                  <c:v>-4.9523999999999999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39-47E3-A4C8-2D2E82C278D6}"/>
            </c:ext>
          </c:extLst>
        </c:ser>
        <c:ser>
          <c:idx val="2"/>
          <c:order val="2"/>
          <c:tx>
            <c:v>Buf_P to Buf_N</c:v>
          </c:tx>
          <c:spPr>
            <a:ln w="3810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'Fully Differential'!$I$8:$I$48</c:f>
              <c:numCache>
                <c:formatCode>General</c:formatCode>
                <c:ptCount val="41"/>
                <c:pt idx="0">
                  <c:v>4.9928999999999997</c:v>
                </c:pt>
                <c:pt idx="1">
                  <c:v>4.9099000000000004</c:v>
                </c:pt>
                <c:pt idx="2">
                  <c:v>4.7523</c:v>
                </c:pt>
                <c:pt idx="3">
                  <c:v>4.6020000000000003</c:v>
                </c:pt>
                <c:pt idx="4">
                  <c:v>4.5021000000000004</c:v>
                </c:pt>
                <c:pt idx="5">
                  <c:v>4.4020000000000001</c:v>
                </c:pt>
                <c:pt idx="6">
                  <c:v>4.0026999999999999</c:v>
                </c:pt>
                <c:pt idx="7">
                  <c:v>3.7522000000000002</c:v>
                </c:pt>
                <c:pt idx="8">
                  <c:v>3.5021</c:v>
                </c:pt>
                <c:pt idx="9">
                  <c:v>3.2515999999999998</c:v>
                </c:pt>
                <c:pt idx="10">
                  <c:v>3.0024000000000002</c:v>
                </c:pt>
                <c:pt idx="11">
                  <c:v>2.0004</c:v>
                </c:pt>
                <c:pt idx="12">
                  <c:v>1.00038</c:v>
                </c:pt>
                <c:pt idx="13">
                  <c:v>0.74990000000000001</c:v>
                </c:pt>
                <c:pt idx="14">
                  <c:v>0.50134999999999996</c:v>
                </c:pt>
                <c:pt idx="15">
                  <c:v>0.25086999999999998</c:v>
                </c:pt>
                <c:pt idx="16">
                  <c:v>0.10058</c:v>
                </c:pt>
                <c:pt idx="17">
                  <c:v>5.0470000000000001E-2</c:v>
                </c:pt>
                <c:pt idx="18">
                  <c:v>2.1440000000000001E-2</c:v>
                </c:pt>
                <c:pt idx="19">
                  <c:v>1.03E-2</c:v>
                </c:pt>
                <c:pt idx="20">
                  <c:v>4.0000000000000002E-4</c:v>
                </c:pt>
                <c:pt idx="21">
                  <c:v>-9.2599999999999991E-3</c:v>
                </c:pt>
                <c:pt idx="22">
                  <c:v>-1.9179999999999999E-2</c:v>
                </c:pt>
                <c:pt idx="23">
                  <c:v>-4.9779999999999998E-2</c:v>
                </c:pt>
                <c:pt idx="24">
                  <c:v>-9.987E-2</c:v>
                </c:pt>
                <c:pt idx="25">
                  <c:v>-0.24979000000000001</c:v>
                </c:pt>
                <c:pt idx="26">
                  <c:v>-0.49874000000000002</c:v>
                </c:pt>
                <c:pt idx="27">
                  <c:v>-0.74922</c:v>
                </c:pt>
                <c:pt idx="28">
                  <c:v>-0.99973000000000001</c:v>
                </c:pt>
                <c:pt idx="29">
                  <c:v>-1.9995000000000001</c:v>
                </c:pt>
                <c:pt idx="30">
                  <c:v>-2.9998999999999998</c:v>
                </c:pt>
                <c:pt idx="31">
                  <c:v>-3.2505999999999999</c:v>
                </c:pt>
                <c:pt idx="32">
                  <c:v>-3.5007000000000001</c:v>
                </c:pt>
                <c:pt idx="33">
                  <c:v>-3.7511000000000001</c:v>
                </c:pt>
                <c:pt idx="34">
                  <c:v>-4.0015999999999998</c:v>
                </c:pt>
                <c:pt idx="35">
                  <c:v>-4.4002999999999997</c:v>
                </c:pt>
                <c:pt idx="36">
                  <c:v>-4.5004999999999997</c:v>
                </c:pt>
                <c:pt idx="37">
                  <c:v>-4.6006999999999998</c:v>
                </c:pt>
                <c:pt idx="38">
                  <c:v>-4.7508999999999997</c:v>
                </c:pt>
                <c:pt idx="39">
                  <c:v>-4.9012000000000002</c:v>
                </c:pt>
                <c:pt idx="40">
                  <c:v>-4.9943999999999997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39-47E3-A4C8-2D2E82C27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083704"/>
        <c:axId val="170086328"/>
      </c:lineChart>
      <c:catAx>
        <c:axId val="170083704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0086328"/>
        <c:crosses val="autoZero"/>
        <c:auto val="1"/>
        <c:lblAlgn val="ctr"/>
        <c:lblOffset val="100"/>
        <c:noMultiLvlLbl val="0"/>
      </c:catAx>
      <c:valAx>
        <c:axId val="170086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0083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In_P to In_N</c:v>
          </c:tx>
          <c:spPr>
            <a:ln w="28575" cap="rnd">
              <a:solidFill>
                <a:schemeClr val="bg2">
                  <a:lumMod val="9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'Fully Differential'!$A$8:$A$18</c:f>
              <c:numCache>
                <c:formatCode>0.00</c:formatCode>
                <c:ptCount val="11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  <c:pt idx="7">
                  <c:v>3.75</c:v>
                </c:pt>
                <c:pt idx="8">
                  <c:v>3.5</c:v>
                </c:pt>
                <c:pt idx="9">
                  <c:v>3.25</c:v>
                </c:pt>
                <c:pt idx="10">
                  <c:v>3</c:v>
                </c:pt>
              </c:numCache>
            </c:numRef>
          </c:cat>
          <c:val>
            <c:numRef>
              <c:f>'Fully Differential'!$A$8:$A$14</c:f>
              <c:numCache>
                <c:formatCode>0.00</c:formatCode>
                <c:ptCount val="7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1D-4154-A20E-9CB460FE2CCC}"/>
            </c:ext>
          </c:extLst>
        </c:ser>
        <c:ser>
          <c:idx val="1"/>
          <c:order val="1"/>
          <c:tx>
            <c:v>Vout_P to Vout_N</c:v>
          </c:tx>
          <c:spPr>
            <a:ln w="38100" cap="flat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'Fully Differential'!$A$8:$A$18</c:f>
              <c:numCache>
                <c:formatCode>0.00</c:formatCode>
                <c:ptCount val="11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  <c:pt idx="7">
                  <c:v>3.75</c:v>
                </c:pt>
                <c:pt idx="8">
                  <c:v>3.5</c:v>
                </c:pt>
                <c:pt idx="9">
                  <c:v>3.25</c:v>
                </c:pt>
                <c:pt idx="10">
                  <c:v>3</c:v>
                </c:pt>
              </c:numCache>
            </c:numRef>
          </c:cat>
          <c:val>
            <c:numRef>
              <c:f>'Fully Differential'!$B$8:$B$14</c:f>
              <c:numCache>
                <c:formatCode>0.0000</c:formatCode>
                <c:ptCount val="7"/>
                <c:pt idx="0">
                  <c:v>4.9526000000000003</c:v>
                </c:pt>
                <c:pt idx="1">
                  <c:v>4.9022800000000002</c:v>
                </c:pt>
                <c:pt idx="2">
                  <c:v>4.7521000000000004</c:v>
                </c:pt>
                <c:pt idx="3">
                  <c:v>4.6017999999999999</c:v>
                </c:pt>
                <c:pt idx="4">
                  <c:v>4.5019999999999998</c:v>
                </c:pt>
                <c:pt idx="5">
                  <c:v>4.4017900000000001</c:v>
                </c:pt>
                <c:pt idx="6">
                  <c:v>4.00258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1D-4154-A20E-9CB460FE2CCC}"/>
            </c:ext>
          </c:extLst>
        </c:ser>
        <c:ser>
          <c:idx val="2"/>
          <c:order val="2"/>
          <c:tx>
            <c:v>Buf_P to Buf_N</c:v>
          </c:tx>
          <c:spPr>
            <a:ln w="3810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none"/>
          </c:marker>
          <c:val>
            <c:numRef>
              <c:f>'Fully Differential'!$I$8:$I$14</c:f>
              <c:numCache>
                <c:formatCode>General</c:formatCode>
                <c:ptCount val="7"/>
                <c:pt idx="0">
                  <c:v>4.9928999999999997</c:v>
                </c:pt>
                <c:pt idx="1">
                  <c:v>4.9099000000000004</c:v>
                </c:pt>
                <c:pt idx="2">
                  <c:v>4.7523</c:v>
                </c:pt>
                <c:pt idx="3">
                  <c:v>4.6020000000000003</c:v>
                </c:pt>
                <c:pt idx="4">
                  <c:v>4.5021000000000004</c:v>
                </c:pt>
                <c:pt idx="5">
                  <c:v>4.4020000000000001</c:v>
                </c:pt>
                <c:pt idx="6">
                  <c:v>4.0026999999999999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1D-4154-A20E-9CB460FE2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2276584"/>
        <c:axId val="602277896"/>
      </c:lineChart>
      <c:catAx>
        <c:axId val="602276584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02277896"/>
        <c:crosses val="autoZero"/>
        <c:auto val="1"/>
        <c:lblAlgn val="ctr"/>
        <c:lblOffset val="100"/>
        <c:noMultiLvlLbl val="0"/>
      </c:catAx>
      <c:valAx>
        <c:axId val="602277896"/>
        <c:scaling>
          <c:orientation val="minMax"/>
          <c:max val="5.0999999999999996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02276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3979</xdr:colOff>
      <xdr:row>6</xdr:row>
      <xdr:rowOff>5800</xdr:rowOff>
    </xdr:from>
    <xdr:to>
      <xdr:col>18</xdr:col>
      <xdr:colOff>787865</xdr:colOff>
      <xdr:row>26</xdr:row>
      <xdr:rowOff>177071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A9FDE8F-4899-414E-9A0F-C3EC4F74F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3302</xdr:colOff>
      <xdr:row>28</xdr:row>
      <xdr:rowOff>4497</xdr:rowOff>
    </xdr:from>
    <xdr:to>
      <xdr:col>18</xdr:col>
      <xdr:colOff>0</xdr:colOff>
      <xdr:row>44</xdr:row>
      <xdr:rowOff>1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BDA23F80-02E3-4A23-A779-692B85619A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3663</xdr:colOff>
      <xdr:row>6</xdr:row>
      <xdr:rowOff>4762</xdr:rowOff>
    </xdr:from>
    <xdr:to>
      <xdr:col>19</xdr:col>
      <xdr:colOff>0</xdr:colOff>
      <xdr:row>27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9AB6E7C-D5CA-49A3-A996-28AE0E1F0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6802</xdr:colOff>
      <xdr:row>28</xdr:row>
      <xdr:rowOff>3402</xdr:rowOff>
    </xdr:from>
    <xdr:to>
      <xdr:col>18</xdr:col>
      <xdr:colOff>5442</xdr:colOff>
      <xdr:row>44</xdr:row>
      <xdr:rowOff>5443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BAC00F00-8D3A-4800-8E6D-370ECB83B3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6839</xdr:colOff>
      <xdr:row>45</xdr:row>
      <xdr:rowOff>5211</xdr:rowOff>
    </xdr:from>
    <xdr:to>
      <xdr:col>21</xdr:col>
      <xdr:colOff>5862</xdr:colOff>
      <xdr:row>79</xdr:row>
      <xdr:rowOff>1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A7110C15-7265-404A-818E-98AF4D736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590385</xdr:colOff>
      <xdr:row>49</xdr:row>
      <xdr:rowOff>168033</xdr:rowOff>
    </xdr:from>
    <xdr:to>
      <xdr:col>20</xdr:col>
      <xdr:colOff>668867</xdr:colOff>
      <xdr:row>61</xdr:row>
      <xdr:rowOff>160867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B83746B6-0277-4E38-8E92-D692F332F0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6574-8C9B-4754-AD58-B3B86AFA5838}">
  <dimension ref="A1:M48"/>
  <sheetViews>
    <sheetView tabSelected="1" zoomScale="80" zoomScaleNormal="80" workbookViewId="0">
      <selection activeCell="T15" sqref="T15"/>
    </sheetView>
  </sheetViews>
  <sheetFormatPr baseColWidth="10" defaultRowHeight="14.4" x14ac:dyDescent="0.3"/>
  <cols>
    <col min="4" max="5" width="13.77734375" customWidth="1"/>
    <col min="7" max="9" width="13.77734375" customWidth="1"/>
  </cols>
  <sheetData>
    <row r="1" spans="1:13" x14ac:dyDescent="0.3">
      <c r="A1" s="5" t="s">
        <v>6</v>
      </c>
      <c r="B1" s="5"/>
      <c r="C1" s="5"/>
      <c r="D1" s="5"/>
      <c r="E1" s="5"/>
      <c r="G1" s="6" t="s">
        <v>8</v>
      </c>
      <c r="H1" s="12" t="s">
        <v>14</v>
      </c>
    </row>
    <row r="2" spans="1:13" x14ac:dyDescent="0.3">
      <c r="A2" s="5" t="s">
        <v>7</v>
      </c>
      <c r="B2" s="5"/>
      <c r="C2" s="5"/>
      <c r="D2" s="5"/>
      <c r="E2" s="5"/>
      <c r="G2" s="6" t="s">
        <v>9</v>
      </c>
      <c r="H2" s="12" t="s">
        <v>15</v>
      </c>
      <c r="I2" s="13" t="s">
        <v>10</v>
      </c>
      <c r="M2" t="s">
        <v>16</v>
      </c>
    </row>
    <row r="4" spans="1:13" x14ac:dyDescent="0.3">
      <c r="A4" s="6" t="s">
        <v>0</v>
      </c>
      <c r="B4" s="6" t="s">
        <v>0</v>
      </c>
    </row>
    <row r="5" spans="1:13" x14ac:dyDescent="0.3">
      <c r="A5" s="6" t="s">
        <v>1</v>
      </c>
      <c r="B5" s="6" t="s">
        <v>3</v>
      </c>
    </row>
    <row r="7" spans="1:13" x14ac:dyDescent="0.3">
      <c r="A7" s="4" t="s">
        <v>0</v>
      </c>
      <c r="B7" s="4" t="s">
        <v>2</v>
      </c>
      <c r="C7" s="4"/>
      <c r="D7" s="4" t="s">
        <v>4</v>
      </c>
      <c r="E7" s="4" t="s">
        <v>5</v>
      </c>
      <c r="F7" s="4"/>
      <c r="G7" s="4" t="s">
        <v>11</v>
      </c>
      <c r="H7" s="4" t="s">
        <v>12</v>
      </c>
      <c r="I7" s="4" t="s">
        <v>13</v>
      </c>
    </row>
    <row r="8" spans="1:13" x14ac:dyDescent="0.3">
      <c r="A8" s="1">
        <v>5</v>
      </c>
      <c r="B8" s="14">
        <v>4.9526000000000003</v>
      </c>
      <c r="D8" s="3">
        <f xml:space="preserve"> PRODUCT(B8-A8, 1000)</f>
        <v>-47.399999999999665</v>
      </c>
      <c r="G8">
        <v>4.9950000000000001</v>
      </c>
      <c r="H8">
        <v>6.2399999999999999E-4</v>
      </c>
      <c r="I8">
        <v>4.9943</v>
      </c>
    </row>
    <row r="9" spans="1:13" x14ac:dyDescent="0.3">
      <c r="A9" s="1">
        <v>4.9000000000000004</v>
      </c>
      <c r="B9" s="14">
        <v>4.9013999999999998</v>
      </c>
      <c r="D9" s="3">
        <f t="shared" ref="D9:D17" si="0" xml:space="preserve"> PRODUCT(B9-A9, 1000)</f>
        <v>1.3999999999994017</v>
      </c>
      <c r="G9">
        <v>4.9268000000000001</v>
      </c>
      <c r="H9">
        <v>6.2500000000000001E-4</v>
      </c>
      <c r="I9">
        <v>4.9348999999999998</v>
      </c>
    </row>
    <row r="10" spans="1:13" x14ac:dyDescent="0.3">
      <c r="A10" s="1">
        <v>4.75</v>
      </c>
      <c r="B10" s="14">
        <v>4.7516499999999997</v>
      </c>
      <c r="D10" s="3">
        <f t="shared" si="0"/>
        <v>1.6499999999997073</v>
      </c>
      <c r="G10">
        <v>4.7523999999999997</v>
      </c>
      <c r="H10">
        <v>6.2500000000000001E-4</v>
      </c>
      <c r="I10">
        <v>4.7518000000000002</v>
      </c>
    </row>
    <row r="11" spans="1:13" x14ac:dyDescent="0.3">
      <c r="A11" s="1">
        <v>4.5999999999999996</v>
      </c>
      <c r="B11" s="14">
        <v>4.6014999999999997</v>
      </c>
      <c r="D11" s="3">
        <f t="shared" si="0"/>
        <v>1.5000000000000568</v>
      </c>
      <c r="G11">
        <v>4.6022999999999996</v>
      </c>
      <c r="H11">
        <v>6.2500000000000001E-4</v>
      </c>
      <c r="I11">
        <v>4.6016000000000004</v>
      </c>
    </row>
    <row r="12" spans="1:13" x14ac:dyDescent="0.3">
      <c r="A12" s="1">
        <v>4.5</v>
      </c>
      <c r="B12" s="14">
        <v>4.5014000000000003</v>
      </c>
      <c r="D12" s="3">
        <f t="shared" si="0"/>
        <v>1.4000000000002899</v>
      </c>
      <c r="G12">
        <v>4.5022000000000002</v>
      </c>
      <c r="H12">
        <v>6.2699999999999995E-4</v>
      </c>
      <c r="I12">
        <v>4.5015999999999998</v>
      </c>
    </row>
    <row r="13" spans="1:13" x14ac:dyDescent="0.3">
      <c r="A13" s="1">
        <v>4.4000000000000004</v>
      </c>
      <c r="B13" s="14">
        <v>4.4012900000000004</v>
      </c>
      <c r="D13" s="3">
        <f t="shared" si="0"/>
        <v>1.2900000000000134</v>
      </c>
      <c r="G13">
        <v>4.4020999999999999</v>
      </c>
      <c r="H13">
        <v>6.2500000000000001E-4</v>
      </c>
      <c r="I13">
        <v>4.4013999999999998</v>
      </c>
    </row>
    <row r="14" spans="1:13" x14ac:dyDescent="0.3">
      <c r="A14" s="1">
        <v>4</v>
      </c>
      <c r="B14" s="14">
        <v>4.0008699999999999</v>
      </c>
      <c r="D14" s="3">
        <f t="shared" si="0"/>
        <v>0.86999999999992639</v>
      </c>
      <c r="G14">
        <v>4.0016999999999996</v>
      </c>
      <c r="H14">
        <v>6.2600000000000004E-4</v>
      </c>
      <c r="I14">
        <v>4.0010000000000003</v>
      </c>
    </row>
    <row r="15" spans="1:13" x14ac:dyDescent="0.3">
      <c r="A15" s="1">
        <v>3.75</v>
      </c>
      <c r="B15" s="14">
        <v>3.7502</v>
      </c>
      <c r="D15" s="3">
        <f t="shared" si="0"/>
        <v>0.19999999999997797</v>
      </c>
      <c r="G15">
        <v>3.7509999999999999</v>
      </c>
      <c r="H15">
        <v>6.2699999999999995E-4</v>
      </c>
      <c r="I15">
        <v>3.7504</v>
      </c>
    </row>
    <row r="16" spans="1:13" x14ac:dyDescent="0.3">
      <c r="A16" s="1">
        <v>3.5</v>
      </c>
      <c r="B16" s="14">
        <v>3.5003000000000002</v>
      </c>
      <c r="D16" s="3">
        <f xml:space="preserve"> PRODUCT(B16-A16, 1000)</f>
        <v>0.300000000000189</v>
      </c>
      <c r="G16">
        <v>3.5011000000000001</v>
      </c>
      <c r="H16">
        <v>6.2699999999999995E-4</v>
      </c>
      <c r="I16">
        <v>3.5005000000000002</v>
      </c>
    </row>
    <row r="17" spans="1:9" x14ac:dyDescent="0.3">
      <c r="A17" s="1">
        <v>3.25</v>
      </c>
      <c r="B17" s="14">
        <v>3.2500200000000001</v>
      </c>
      <c r="D17" s="3">
        <f t="shared" si="0"/>
        <v>2.0000000000131024E-2</v>
      </c>
      <c r="G17">
        <v>3.2507999999999999</v>
      </c>
      <c r="H17">
        <v>6.2500000000000001E-4</v>
      </c>
      <c r="I17">
        <v>3.2502</v>
      </c>
    </row>
    <row r="18" spans="1:9" x14ac:dyDescent="0.3">
      <c r="A18" s="1">
        <v>3</v>
      </c>
      <c r="B18" s="14">
        <v>3.0000399999999998</v>
      </c>
      <c r="D18" s="3">
        <f t="shared" ref="D18:D48" si="1" xml:space="preserve"> PRODUCT(B18-A18, 1000)</f>
        <v>3.9999999999817959E-2</v>
      </c>
      <c r="G18">
        <v>3.0009000000000001</v>
      </c>
      <c r="H18">
        <v>6.2500000000000001E-4</v>
      </c>
      <c r="I18">
        <v>3.0003000000000002</v>
      </c>
    </row>
    <row r="19" spans="1:9" x14ac:dyDescent="0.3">
      <c r="A19" s="1">
        <v>2</v>
      </c>
      <c r="B19" s="14">
        <v>1.9997199999999999</v>
      </c>
      <c r="D19" s="3">
        <f t="shared" si="1"/>
        <v>-0.28000000000005798</v>
      </c>
      <c r="G19">
        <v>2.0005999999999999</v>
      </c>
      <c r="H19">
        <v>6.2500000000000001E-4</v>
      </c>
      <c r="I19">
        <v>2</v>
      </c>
    </row>
    <row r="20" spans="1:9" x14ac:dyDescent="0.3">
      <c r="A20" s="1">
        <v>1</v>
      </c>
      <c r="B20" s="14">
        <v>0.99972000000000005</v>
      </c>
      <c r="D20" s="3">
        <f t="shared" si="1"/>
        <v>-0.27999999999994696</v>
      </c>
      <c r="G20">
        <v>1.0006299999999999</v>
      </c>
      <c r="H20">
        <v>6.2500000000000001E-4</v>
      </c>
      <c r="I20">
        <v>1</v>
      </c>
    </row>
    <row r="21" spans="1:9" x14ac:dyDescent="0.3">
      <c r="A21" s="1">
        <v>0.75</v>
      </c>
      <c r="B21" s="14">
        <v>0.74990999999999997</v>
      </c>
      <c r="D21" s="3">
        <f t="shared" si="1"/>
        <v>-9.0000000000034497E-2</v>
      </c>
      <c r="G21">
        <v>0.75083999999999995</v>
      </c>
      <c r="H21">
        <v>6.2500000000000001E-4</v>
      </c>
      <c r="I21">
        <v>0.75019999999999998</v>
      </c>
    </row>
    <row r="22" spans="1:9" x14ac:dyDescent="0.3">
      <c r="A22" s="1">
        <v>0.5</v>
      </c>
      <c r="B22" s="14">
        <v>0.49973000000000001</v>
      </c>
      <c r="D22" s="3">
        <f t="shared" si="1"/>
        <v>-0.26999999999999247</v>
      </c>
      <c r="G22">
        <v>0.50065999999999999</v>
      </c>
      <c r="H22">
        <v>6.2500000000000001E-4</v>
      </c>
      <c r="I22">
        <v>0.50004000000000004</v>
      </c>
    </row>
    <row r="23" spans="1:9" x14ac:dyDescent="0.3">
      <c r="A23" s="1">
        <v>0.25</v>
      </c>
      <c r="B23" s="14">
        <v>0.24994</v>
      </c>
      <c r="D23" s="3">
        <f t="shared" si="1"/>
        <v>-6.0000000000004494E-2</v>
      </c>
      <c r="G23">
        <v>0.25087999999999999</v>
      </c>
      <c r="H23">
        <v>6.2500000000000001E-4</v>
      </c>
      <c r="I23">
        <v>0.25024999999999997</v>
      </c>
    </row>
    <row r="24" spans="1:9" x14ac:dyDescent="0.3">
      <c r="A24" s="1">
        <v>0.1</v>
      </c>
      <c r="B24" s="14">
        <v>9.9830000000000002E-2</v>
      </c>
      <c r="D24" s="3">
        <f t="shared" si="1"/>
        <v>-0.17000000000000348</v>
      </c>
      <c r="G24">
        <v>0.10077</v>
      </c>
      <c r="H24">
        <v>6.2500000000000001E-4</v>
      </c>
      <c r="I24">
        <v>0.10015</v>
      </c>
    </row>
    <row r="25" spans="1:9" x14ac:dyDescent="0.3">
      <c r="A25" s="1">
        <v>0.05</v>
      </c>
      <c r="B25" s="14">
        <v>4.9799999999999997E-2</v>
      </c>
      <c r="D25" s="3">
        <f t="shared" si="1"/>
        <v>-0.20000000000000573</v>
      </c>
      <c r="E25" s="11"/>
      <c r="G25">
        <v>5.074E-2</v>
      </c>
      <c r="H25">
        <v>6.2500000000000001E-4</v>
      </c>
      <c r="I25">
        <v>5.0110000000000002E-2</v>
      </c>
    </row>
    <row r="26" spans="1:9" x14ac:dyDescent="0.3">
      <c r="A26" s="1">
        <v>0.02</v>
      </c>
      <c r="B26" s="14">
        <v>1.9949999999999999E-2</v>
      </c>
      <c r="D26" s="3">
        <f t="shared" si="1"/>
        <v>-5.0000000000001432E-2</v>
      </c>
      <c r="G26">
        <v>2.087E-2</v>
      </c>
      <c r="H26">
        <v>6.2799999999999998E-4</v>
      </c>
      <c r="I26">
        <v>2.0240000000000001E-2</v>
      </c>
    </row>
    <row r="27" spans="1:9" x14ac:dyDescent="0.3">
      <c r="A27" s="1">
        <v>0.01</v>
      </c>
      <c r="B27" s="14">
        <v>9.8600000000000007E-3</v>
      </c>
      <c r="D27" s="3">
        <f t="shared" si="1"/>
        <v>-0.13999999999999951</v>
      </c>
      <c r="G27">
        <v>1.0789999999999999E-2</v>
      </c>
      <c r="H27">
        <v>6.29E-4</v>
      </c>
      <c r="I27">
        <v>1.0160000000000001E-2</v>
      </c>
    </row>
    <row r="28" spans="1:9" x14ac:dyDescent="0.3">
      <c r="A28" s="7">
        <v>0</v>
      </c>
      <c r="B28" s="15">
        <v>1.4999999999999999E-4</v>
      </c>
      <c r="C28" s="8"/>
      <c r="D28" s="10">
        <f t="shared" si="1"/>
        <v>0.15</v>
      </c>
      <c r="E28" s="9"/>
      <c r="F28" s="9"/>
      <c r="G28" s="9">
        <v>1.08E-3</v>
      </c>
      <c r="H28" s="9">
        <v>6.2799999999999998E-4</v>
      </c>
      <c r="I28" s="9">
        <v>4.4999999999999999E-4</v>
      </c>
    </row>
    <row r="29" spans="1:9" x14ac:dyDescent="0.3">
      <c r="A29" s="1">
        <v>-0.01</v>
      </c>
      <c r="B29" s="14">
        <v>-1.042E-2</v>
      </c>
      <c r="D29" s="3">
        <f t="shared" si="1"/>
        <v>-0.42000000000000026</v>
      </c>
      <c r="G29">
        <v>-9.4500000000000001E-3</v>
      </c>
      <c r="H29">
        <v>6.2799999999999998E-4</v>
      </c>
      <c r="I29">
        <v>-1.008E-2</v>
      </c>
    </row>
    <row r="30" spans="1:9" x14ac:dyDescent="0.3">
      <c r="A30" s="1">
        <v>-0.02</v>
      </c>
      <c r="B30" s="14">
        <v>-2.0490000000000001E-2</v>
      </c>
      <c r="D30" s="3">
        <f t="shared" si="1"/>
        <v>-0.49000000000000088</v>
      </c>
      <c r="G30">
        <v>-1.9529999999999999E-2</v>
      </c>
      <c r="H30">
        <v>6.2699999999999995E-4</v>
      </c>
      <c r="I30">
        <v>-2.0160000000000001E-2</v>
      </c>
    </row>
    <row r="31" spans="1:9" x14ac:dyDescent="0.3">
      <c r="A31" s="1">
        <v>-0.05</v>
      </c>
      <c r="B31" s="14">
        <v>-5.0369999999999998E-2</v>
      </c>
      <c r="D31" s="3">
        <f t="shared" si="1"/>
        <v>-0.36999999999999533</v>
      </c>
      <c r="G31">
        <v>-4.9399999999999999E-2</v>
      </c>
      <c r="H31">
        <v>6.2699999999999995E-4</v>
      </c>
      <c r="I31">
        <v>-5.0040000000000001E-2</v>
      </c>
    </row>
    <row r="32" spans="1:9" x14ac:dyDescent="0.3">
      <c r="A32" s="1">
        <v>-0.1</v>
      </c>
      <c r="B32" s="14">
        <v>-0.10038999999999999</v>
      </c>
      <c r="D32" s="3">
        <f t="shared" si="1"/>
        <v>-0.38999999999998758</v>
      </c>
      <c r="G32">
        <v>-9.9400000000000002E-2</v>
      </c>
      <c r="H32">
        <v>6.2699999999999995E-4</v>
      </c>
      <c r="I32">
        <v>-0.10007000000000001</v>
      </c>
    </row>
    <row r="33" spans="1:9" x14ac:dyDescent="0.3">
      <c r="A33" s="1">
        <v>-0.25</v>
      </c>
      <c r="B33" s="14">
        <v>-0.25048999999999999</v>
      </c>
      <c r="D33" s="3">
        <f t="shared" si="1"/>
        <v>-0.48999999999999044</v>
      </c>
      <c r="G33">
        <v>-0.24954999999999999</v>
      </c>
      <c r="H33">
        <v>6.2699999999999995E-4</v>
      </c>
      <c r="I33">
        <v>-0.25018000000000001</v>
      </c>
    </row>
    <row r="34" spans="1:9" x14ac:dyDescent="0.3">
      <c r="A34" s="1">
        <v>-0.5</v>
      </c>
      <c r="B34" s="14">
        <v>-0.50031000000000003</v>
      </c>
      <c r="D34" s="3">
        <f t="shared" si="1"/>
        <v>-0.31000000000003247</v>
      </c>
      <c r="G34">
        <v>-0.49933</v>
      </c>
      <c r="H34">
        <v>6.2699999999999995E-4</v>
      </c>
      <c r="I34">
        <v>-0.49996000000000002</v>
      </c>
    </row>
    <row r="35" spans="1:9" x14ac:dyDescent="0.3">
      <c r="A35" s="1">
        <v>-0.75</v>
      </c>
      <c r="B35" s="14">
        <v>-0.75048999999999999</v>
      </c>
      <c r="D35" s="3">
        <f t="shared" si="1"/>
        <v>-0.48999999999999044</v>
      </c>
      <c r="G35">
        <v>-0.74950000000000006</v>
      </c>
      <c r="H35">
        <v>6.2699999999999995E-4</v>
      </c>
      <c r="I35">
        <v>-0.75012999999999996</v>
      </c>
    </row>
    <row r="36" spans="1:9" x14ac:dyDescent="0.3">
      <c r="A36" s="1">
        <v>-1</v>
      </c>
      <c r="B36" s="14">
        <v>-1.0003</v>
      </c>
      <c r="D36" s="3">
        <f t="shared" si="1"/>
        <v>-0.29999999999996696</v>
      </c>
      <c r="G36">
        <v>-0.99931000000000003</v>
      </c>
      <c r="H36">
        <v>6.2799999999999998E-4</v>
      </c>
      <c r="I36">
        <v>-0.99992999999999999</v>
      </c>
    </row>
    <row r="37" spans="1:9" x14ac:dyDescent="0.3">
      <c r="A37" s="1">
        <v>-2</v>
      </c>
      <c r="B37" s="14">
        <v>-2.0003000000000002</v>
      </c>
      <c r="D37" s="3">
        <f t="shared" si="1"/>
        <v>-0.300000000000189</v>
      </c>
      <c r="G37">
        <v>-1.9992000000000001</v>
      </c>
      <c r="H37">
        <v>6.2799999999999998E-4</v>
      </c>
      <c r="I37">
        <v>-1.9999</v>
      </c>
    </row>
    <row r="38" spans="1:9" x14ac:dyDescent="0.3">
      <c r="A38" s="1">
        <v>-3</v>
      </c>
      <c r="B38" s="14">
        <v>-3.0006900000000001</v>
      </c>
      <c r="D38" s="3">
        <f t="shared" si="1"/>
        <v>-0.69000000000007944</v>
      </c>
      <c r="G38">
        <v>-2.9996</v>
      </c>
      <c r="H38">
        <v>6.2500000000000001E-4</v>
      </c>
      <c r="I38">
        <v>-3.0002</v>
      </c>
    </row>
    <row r="39" spans="1:9" x14ac:dyDescent="0.3">
      <c r="A39" s="1">
        <v>-3.25</v>
      </c>
      <c r="B39" s="14">
        <v>-3.2505999999999999</v>
      </c>
      <c r="D39" s="3">
        <f t="shared" si="1"/>
        <v>-0.59999999999993392</v>
      </c>
      <c r="G39">
        <v>-3.2494999999999998</v>
      </c>
      <c r="H39">
        <v>6.2500000000000001E-4</v>
      </c>
      <c r="I39">
        <v>-3.2501000000000002</v>
      </c>
    </row>
    <row r="40" spans="1:9" x14ac:dyDescent="0.3">
      <c r="A40" s="1">
        <v>-3.5</v>
      </c>
      <c r="B40" s="14">
        <v>-3.5009000000000001</v>
      </c>
      <c r="D40" s="3">
        <f t="shared" si="1"/>
        <v>-0.90000000000012292</v>
      </c>
      <c r="G40">
        <v>-3.4998</v>
      </c>
      <c r="H40">
        <v>6.2299999999999996E-4</v>
      </c>
      <c r="I40">
        <v>-3.5004</v>
      </c>
    </row>
    <row r="41" spans="1:9" x14ac:dyDescent="0.3">
      <c r="A41" s="1">
        <v>-3.75</v>
      </c>
      <c r="B41" s="14">
        <v>-3.7507799999999998</v>
      </c>
      <c r="D41" s="3">
        <f t="shared" si="1"/>
        <v>-0.77999999999978087</v>
      </c>
      <c r="G41">
        <v>-3.7496999999999998</v>
      </c>
      <c r="H41">
        <v>6.2299999999999996E-4</v>
      </c>
      <c r="I41">
        <v>-3.7503000000000002</v>
      </c>
    </row>
    <row r="42" spans="1:9" x14ac:dyDescent="0.3">
      <c r="A42" s="1">
        <v>-4</v>
      </c>
      <c r="B42" s="14">
        <v>-4.0003000000000002</v>
      </c>
      <c r="D42" s="3">
        <f t="shared" si="1"/>
        <v>-0.300000000000189</v>
      </c>
      <c r="G42">
        <v>-3.9992000000000001</v>
      </c>
      <c r="H42">
        <v>6.2299999999999996E-4</v>
      </c>
      <c r="I42">
        <v>-3.9998</v>
      </c>
    </row>
    <row r="43" spans="1:9" x14ac:dyDescent="0.3">
      <c r="A43" s="1">
        <v>-4.4000000000000004</v>
      </c>
      <c r="B43" s="14">
        <v>-4.4001999999999999</v>
      </c>
      <c r="D43" s="3">
        <f t="shared" si="1"/>
        <v>-0.19999999999953388</v>
      </c>
      <c r="G43">
        <v>-4.3990999999999998</v>
      </c>
      <c r="H43">
        <v>6.2200000000000005E-4</v>
      </c>
      <c r="I43">
        <v>-4.3997000000000002</v>
      </c>
    </row>
    <row r="44" spans="1:9" x14ac:dyDescent="0.3">
      <c r="A44" s="1">
        <v>-4.5</v>
      </c>
      <c r="B44" s="14">
        <v>-4.5003000000000002</v>
      </c>
      <c r="D44" s="3">
        <f t="shared" si="1"/>
        <v>-0.300000000000189</v>
      </c>
      <c r="G44">
        <v>-4.4992000000000001</v>
      </c>
      <c r="H44">
        <v>6.2200000000000005E-4</v>
      </c>
      <c r="I44">
        <v>-4.4997999999999996</v>
      </c>
    </row>
    <row r="45" spans="1:9" x14ac:dyDescent="0.3">
      <c r="A45" s="1">
        <v>-4.5999999999999996</v>
      </c>
      <c r="B45" s="14">
        <v>-4.6003999999999996</v>
      </c>
      <c r="D45" s="3">
        <f t="shared" si="1"/>
        <v>-0.39999999999995595</v>
      </c>
      <c r="G45">
        <v>-4.5993000000000004</v>
      </c>
      <c r="H45">
        <v>6.2399999999999999E-4</v>
      </c>
      <c r="I45">
        <v>-4.5998999999999999</v>
      </c>
    </row>
    <row r="46" spans="1:9" x14ac:dyDescent="0.3">
      <c r="A46" s="1">
        <v>-4.75</v>
      </c>
      <c r="B46" s="14">
        <v>-4.7506000000000004</v>
      </c>
      <c r="D46" s="3">
        <f t="shared" si="1"/>
        <v>-0.60000000000037801</v>
      </c>
      <c r="G46">
        <v>-4.7493999999999996</v>
      </c>
      <c r="H46">
        <v>6.2299999999999996E-4</v>
      </c>
      <c r="I46">
        <v>-4.75</v>
      </c>
    </row>
    <row r="47" spans="1:9" x14ac:dyDescent="0.3">
      <c r="A47" s="1">
        <v>-4.9000000000000004</v>
      </c>
      <c r="B47" s="14">
        <v>-4.8998999999999997</v>
      </c>
      <c r="D47" s="3">
        <f t="shared" si="1"/>
        <v>0.10000000000065512</v>
      </c>
      <c r="G47">
        <v>-4.9078999999999997</v>
      </c>
      <c r="H47">
        <v>6.2200000000000005E-4</v>
      </c>
      <c r="I47">
        <v>-4.9103000000000003</v>
      </c>
    </row>
    <row r="48" spans="1:9" x14ac:dyDescent="0.3">
      <c r="A48" s="1">
        <v>-5</v>
      </c>
      <c r="B48" s="14">
        <v>-4.9486999999999997</v>
      </c>
      <c r="D48" s="3">
        <f t="shared" si="1"/>
        <v>51.300000000000345</v>
      </c>
      <c r="G48">
        <v>-4.9817999999999998</v>
      </c>
      <c r="H48">
        <v>6.1799999999999995E-4</v>
      </c>
      <c r="I48">
        <v>-4.9824999999999999</v>
      </c>
    </row>
  </sheetData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810B0-F6CA-425C-AFAB-03D2B3DC6E1B}">
  <dimension ref="A1:M64"/>
  <sheetViews>
    <sheetView zoomScale="80" zoomScaleNormal="80" workbookViewId="0">
      <selection activeCell="U10" sqref="U10"/>
    </sheetView>
  </sheetViews>
  <sheetFormatPr baseColWidth="10" defaultRowHeight="14.4" x14ac:dyDescent="0.3"/>
  <cols>
    <col min="4" max="5" width="13.77734375" customWidth="1"/>
    <col min="7" max="9" width="13.77734375" customWidth="1"/>
  </cols>
  <sheetData>
    <row r="1" spans="1:13" x14ac:dyDescent="0.3">
      <c r="A1" s="5" t="s">
        <v>20</v>
      </c>
      <c r="B1" s="5"/>
      <c r="C1" s="5"/>
      <c r="D1" s="5"/>
      <c r="E1" s="5"/>
      <c r="G1" s="6" t="s">
        <v>8</v>
      </c>
      <c r="H1" s="12" t="s">
        <v>14</v>
      </c>
    </row>
    <row r="2" spans="1:13" x14ac:dyDescent="0.3">
      <c r="A2" s="5" t="s">
        <v>7</v>
      </c>
      <c r="B2" s="5"/>
      <c r="C2" s="5"/>
      <c r="D2" s="5"/>
      <c r="E2" s="5"/>
      <c r="G2" s="6" t="s">
        <v>9</v>
      </c>
      <c r="H2" s="12" t="s">
        <v>15</v>
      </c>
      <c r="I2" s="13" t="s">
        <v>10</v>
      </c>
      <c r="M2" t="s">
        <v>21</v>
      </c>
    </row>
    <row r="4" spans="1:13" x14ac:dyDescent="0.3">
      <c r="A4" s="6" t="s">
        <v>0</v>
      </c>
      <c r="B4" s="16" t="s">
        <v>17</v>
      </c>
      <c r="C4" s="16"/>
      <c r="D4" s="16"/>
    </row>
    <row r="5" spans="1:13" x14ac:dyDescent="0.3">
      <c r="A5" s="6" t="s">
        <v>1</v>
      </c>
      <c r="B5" s="16" t="s">
        <v>18</v>
      </c>
      <c r="C5" s="16"/>
      <c r="D5" s="16"/>
    </row>
    <row r="7" spans="1:13" x14ac:dyDescent="0.3">
      <c r="A7" s="4" t="s">
        <v>19</v>
      </c>
      <c r="B7" s="4" t="s">
        <v>2</v>
      </c>
      <c r="C7" s="4"/>
      <c r="D7" s="4" t="s">
        <v>4</v>
      </c>
      <c r="E7" s="4" t="s">
        <v>5</v>
      </c>
      <c r="F7" s="4"/>
      <c r="G7" s="4" t="s">
        <v>11</v>
      </c>
      <c r="H7" s="4" t="s">
        <v>12</v>
      </c>
      <c r="I7" s="4" t="s">
        <v>13</v>
      </c>
    </row>
    <row r="8" spans="1:13" x14ac:dyDescent="0.3">
      <c r="A8" s="1">
        <v>5</v>
      </c>
      <c r="B8" s="14">
        <v>4.9526000000000003</v>
      </c>
      <c r="D8" s="3">
        <f xml:space="preserve"> PRODUCT(B8-A8, 1000)</f>
        <v>-47.399999999999665</v>
      </c>
      <c r="G8">
        <v>4.9950000000000001</v>
      </c>
      <c r="H8">
        <v>2.0100000000000001E-3</v>
      </c>
      <c r="I8">
        <v>4.9928999999999997</v>
      </c>
    </row>
    <row r="9" spans="1:13" x14ac:dyDescent="0.3">
      <c r="A9" s="1">
        <v>4.9000000000000004</v>
      </c>
      <c r="B9" s="14">
        <v>4.9022800000000002</v>
      </c>
      <c r="D9" s="3">
        <f t="shared" ref="D9:D48" si="0" xml:space="preserve"> PRODUCT(B9-A9, 1000)</f>
        <v>2.2799999999998377</v>
      </c>
      <c r="G9">
        <v>4.9570999999999996</v>
      </c>
      <c r="H9">
        <v>4.9790000000000001E-2</v>
      </c>
      <c r="I9">
        <v>4.9099000000000004</v>
      </c>
    </row>
    <row r="10" spans="1:13" x14ac:dyDescent="0.3">
      <c r="A10" s="1">
        <v>4.75</v>
      </c>
      <c r="B10" s="14">
        <v>4.7521000000000004</v>
      </c>
      <c r="D10" s="3">
        <f t="shared" si="0"/>
        <v>2.1000000000004349</v>
      </c>
      <c r="G10">
        <v>4.8772000000000002</v>
      </c>
      <c r="H10">
        <v>0.12492</v>
      </c>
      <c r="I10">
        <v>4.7523</v>
      </c>
    </row>
    <row r="11" spans="1:13" x14ac:dyDescent="0.3">
      <c r="A11" s="1">
        <v>4.5999999999999996</v>
      </c>
      <c r="B11" s="14">
        <v>4.6017999999999999</v>
      </c>
      <c r="D11" s="3">
        <f t="shared" si="0"/>
        <v>1.8000000000002458</v>
      </c>
      <c r="G11">
        <v>4.8021000000000003</v>
      </c>
      <c r="H11">
        <v>0.20013</v>
      </c>
      <c r="I11">
        <v>4.6020000000000003</v>
      </c>
    </row>
    <row r="12" spans="1:13" x14ac:dyDescent="0.3">
      <c r="A12" s="1">
        <v>4.5</v>
      </c>
      <c r="B12" s="14">
        <v>4.5019999999999998</v>
      </c>
      <c r="D12" s="3">
        <f t="shared" si="0"/>
        <v>1.9999999999997797</v>
      </c>
      <c r="G12">
        <v>4.7523999999999997</v>
      </c>
      <c r="H12">
        <v>0.25026999999999999</v>
      </c>
      <c r="I12">
        <v>4.5021000000000004</v>
      </c>
    </row>
    <row r="13" spans="1:13" x14ac:dyDescent="0.3">
      <c r="A13" s="1">
        <v>4.4000000000000004</v>
      </c>
      <c r="B13" s="14">
        <v>4.4017900000000001</v>
      </c>
      <c r="D13" s="3">
        <f t="shared" si="0"/>
        <v>1.7899999999997362</v>
      </c>
      <c r="G13">
        <v>4.7023999999999999</v>
      </c>
      <c r="H13">
        <v>0.30041000000000001</v>
      </c>
      <c r="I13">
        <v>4.4020000000000001</v>
      </c>
    </row>
    <row r="14" spans="1:13" x14ac:dyDescent="0.3">
      <c r="A14" s="1">
        <v>4</v>
      </c>
      <c r="B14" s="14">
        <v>4.00258</v>
      </c>
      <c r="D14" s="3">
        <f t="shared" si="0"/>
        <v>2.5800000000000267</v>
      </c>
      <c r="G14">
        <v>4.5021000000000004</v>
      </c>
      <c r="H14">
        <v>0.49941999999999998</v>
      </c>
      <c r="I14">
        <v>4.0026999999999999</v>
      </c>
    </row>
    <row r="15" spans="1:13" x14ac:dyDescent="0.3">
      <c r="A15" s="1">
        <v>3.75</v>
      </c>
      <c r="B15" s="14">
        <v>3.7521</v>
      </c>
      <c r="D15" s="3">
        <f t="shared" si="0"/>
        <v>2.0999999999999908</v>
      </c>
      <c r="G15">
        <v>4.3769999999999998</v>
      </c>
      <c r="H15">
        <v>0.62478</v>
      </c>
      <c r="I15">
        <v>3.7522000000000002</v>
      </c>
    </row>
    <row r="16" spans="1:13" x14ac:dyDescent="0.3">
      <c r="A16" s="1">
        <v>3.5</v>
      </c>
      <c r="B16" s="14">
        <v>3.5019300000000002</v>
      </c>
      <c r="D16" s="3">
        <f xml:space="preserve"> PRODUCT(B16-A16, 1000)</f>
        <v>1.9300000000002093</v>
      </c>
      <c r="G16">
        <v>4.2522000000000002</v>
      </c>
      <c r="H16">
        <v>0.75012999999999996</v>
      </c>
      <c r="I16">
        <v>3.5021</v>
      </c>
    </row>
    <row r="17" spans="1:9" x14ac:dyDescent="0.3">
      <c r="A17" s="1">
        <v>3.25</v>
      </c>
      <c r="B17" s="14">
        <v>3.2514699999999999</v>
      </c>
      <c r="D17" s="3">
        <f t="shared" si="0"/>
        <v>1.4699999999998603</v>
      </c>
      <c r="G17">
        <v>4.1271000000000004</v>
      </c>
      <c r="H17">
        <v>0.87546999999999997</v>
      </c>
      <c r="I17">
        <v>3.2515999999999998</v>
      </c>
    </row>
    <row r="18" spans="1:9" x14ac:dyDescent="0.3">
      <c r="A18" s="1">
        <v>3</v>
      </c>
      <c r="B18" s="14">
        <v>3.0022000000000002</v>
      </c>
      <c r="D18" s="3">
        <f t="shared" si="0"/>
        <v>2.2000000000002018</v>
      </c>
      <c r="G18">
        <v>4.0015999999999998</v>
      </c>
      <c r="H18">
        <v>0.99927999999999995</v>
      </c>
      <c r="I18">
        <v>3.0024000000000002</v>
      </c>
    </row>
    <row r="19" spans="1:9" x14ac:dyDescent="0.3">
      <c r="A19" s="1">
        <v>2</v>
      </c>
      <c r="B19" s="14">
        <v>2.0002399999999998</v>
      </c>
      <c r="D19" s="3">
        <f t="shared" si="0"/>
        <v>0.23999999999979593</v>
      </c>
      <c r="G19">
        <v>3.5011000000000001</v>
      </c>
      <c r="H19">
        <v>1.5006999999999999</v>
      </c>
      <c r="I19">
        <v>2.0004</v>
      </c>
    </row>
    <row r="20" spans="1:9" x14ac:dyDescent="0.3">
      <c r="A20" s="1">
        <v>1</v>
      </c>
      <c r="B20" s="14">
        <v>1.0002500000000001</v>
      </c>
      <c r="D20" s="3">
        <f t="shared" si="0"/>
        <v>0.25000000000008349</v>
      </c>
      <c r="G20">
        <v>3.0009000000000001</v>
      </c>
      <c r="H20">
        <v>2.0005000000000002</v>
      </c>
      <c r="I20">
        <v>1.00038</v>
      </c>
    </row>
    <row r="21" spans="1:9" x14ac:dyDescent="0.3">
      <c r="A21" s="1">
        <v>0.75</v>
      </c>
      <c r="B21" s="14">
        <v>0.74978</v>
      </c>
      <c r="D21" s="3">
        <f t="shared" si="0"/>
        <v>-0.21999999999999797</v>
      </c>
      <c r="G21">
        <v>2.8757999999999999</v>
      </c>
      <c r="H21">
        <v>2.1259000000000001</v>
      </c>
      <c r="I21">
        <v>0.74990000000000001</v>
      </c>
    </row>
    <row r="22" spans="1:9" x14ac:dyDescent="0.3">
      <c r="A22" s="1">
        <v>0.5</v>
      </c>
      <c r="B22" s="14">
        <v>0.50119999999999998</v>
      </c>
      <c r="D22" s="3">
        <f t="shared" si="0"/>
        <v>1.1999999999999789</v>
      </c>
      <c r="G22">
        <v>2.7509999999999999</v>
      </c>
      <c r="H22">
        <v>2.2496999999999998</v>
      </c>
      <c r="I22">
        <v>0.50134999999999996</v>
      </c>
    </row>
    <row r="23" spans="1:9" x14ac:dyDescent="0.3">
      <c r="A23" s="1">
        <v>0.25</v>
      </c>
      <c r="B23" s="14">
        <v>0.25072</v>
      </c>
      <c r="D23" s="3">
        <f t="shared" si="0"/>
        <v>0.71999999999999842</v>
      </c>
      <c r="G23">
        <v>2.6259000000000001</v>
      </c>
      <c r="H23">
        <v>2.375</v>
      </c>
      <c r="I23">
        <v>0.25086999999999998</v>
      </c>
    </row>
    <row r="24" spans="1:9" x14ac:dyDescent="0.3">
      <c r="A24" s="1">
        <v>0.1</v>
      </c>
      <c r="B24" s="14">
        <v>0.10043000000000001</v>
      </c>
      <c r="D24" s="3">
        <f t="shared" si="0"/>
        <v>0.42999999999999983</v>
      </c>
      <c r="G24">
        <v>2.5508000000000002</v>
      </c>
      <c r="H24">
        <v>2.4502000000000002</v>
      </c>
      <c r="I24">
        <v>0.10058</v>
      </c>
    </row>
    <row r="25" spans="1:9" x14ac:dyDescent="0.3">
      <c r="A25" s="1">
        <v>0.05</v>
      </c>
      <c r="B25" s="14">
        <v>5.0310000000000001E-2</v>
      </c>
      <c r="D25" s="3">
        <f t="shared" si="0"/>
        <v>0.30999999999999778</v>
      </c>
      <c r="E25" s="11"/>
      <c r="G25">
        <v>2.5257999999999998</v>
      </c>
      <c r="H25">
        <v>2.4752999999999998</v>
      </c>
      <c r="I25">
        <v>5.0470000000000001E-2</v>
      </c>
    </row>
    <row r="26" spans="1:9" x14ac:dyDescent="0.3">
      <c r="A26" s="1">
        <v>0.02</v>
      </c>
      <c r="B26" s="14">
        <v>2.1250000000000002E-2</v>
      </c>
      <c r="D26" s="3">
        <f t="shared" si="0"/>
        <v>1.2500000000000011</v>
      </c>
      <c r="G26">
        <v>2.5108000000000001</v>
      </c>
      <c r="H26">
        <v>2.4893999999999998</v>
      </c>
      <c r="I26">
        <v>2.1440000000000001E-2</v>
      </c>
    </row>
    <row r="27" spans="1:9" x14ac:dyDescent="0.3">
      <c r="A27" s="1">
        <v>0.01</v>
      </c>
      <c r="B27" s="14">
        <v>1.01E-2</v>
      </c>
      <c r="D27" s="3">
        <f t="shared" si="0"/>
        <v>9.9999999999999395E-2</v>
      </c>
      <c r="G27">
        <v>2.5059999999999998</v>
      </c>
      <c r="H27">
        <v>2.4956999999999998</v>
      </c>
      <c r="I27">
        <v>1.03E-2</v>
      </c>
    </row>
    <row r="28" spans="1:9" x14ac:dyDescent="0.3">
      <c r="A28" s="7">
        <v>0</v>
      </c>
      <c r="B28" s="15">
        <v>2.0000000000000001E-4</v>
      </c>
      <c r="C28" s="8"/>
      <c r="D28" s="10">
        <f t="shared" si="0"/>
        <v>0.2</v>
      </c>
      <c r="E28" s="9"/>
      <c r="F28" s="9"/>
      <c r="G28" s="9">
        <v>2.5007999999999999</v>
      </c>
      <c r="H28" s="9">
        <v>2.5004</v>
      </c>
      <c r="I28" s="9">
        <v>4.0000000000000002E-4</v>
      </c>
    </row>
    <row r="29" spans="1:9" x14ac:dyDescent="0.3">
      <c r="A29" s="1">
        <v>-0.01</v>
      </c>
      <c r="B29" s="14">
        <v>-9.4000000000000004E-3</v>
      </c>
      <c r="D29" s="3">
        <f t="shared" si="0"/>
        <v>0.59999999999999987</v>
      </c>
      <c r="G29" s="11">
        <v>2.4958999999999998</v>
      </c>
      <c r="H29" s="11">
        <v>2.5051999999999999</v>
      </c>
      <c r="I29" s="11">
        <v>-9.2599999999999991E-3</v>
      </c>
    </row>
    <row r="30" spans="1:9" x14ac:dyDescent="0.3">
      <c r="A30" s="1">
        <v>-0.02</v>
      </c>
      <c r="B30" s="14">
        <v>-1.933E-2</v>
      </c>
      <c r="D30" s="3">
        <f t="shared" si="0"/>
        <v>0.67000000000000048</v>
      </c>
      <c r="G30" s="11">
        <v>2.4906999999999999</v>
      </c>
      <c r="H30" s="11">
        <v>2.5099</v>
      </c>
      <c r="I30" s="11">
        <v>-1.9179999999999999E-2</v>
      </c>
    </row>
    <row r="31" spans="1:9" x14ac:dyDescent="0.3">
      <c r="A31" s="1">
        <v>-0.05</v>
      </c>
      <c r="B31" s="14">
        <v>-4.9939999999999998E-2</v>
      </c>
      <c r="D31" s="3">
        <f t="shared" si="0"/>
        <v>6.0000000000004494E-2</v>
      </c>
      <c r="G31" s="11">
        <v>2.4758</v>
      </c>
      <c r="H31" s="11">
        <v>2.5255000000000001</v>
      </c>
      <c r="I31" s="11">
        <v>-4.9779999999999998E-2</v>
      </c>
    </row>
    <row r="32" spans="1:9" x14ac:dyDescent="0.3">
      <c r="A32" s="1">
        <v>-0.1</v>
      </c>
      <c r="B32" s="14">
        <v>-0.10001</v>
      </c>
      <c r="D32" s="3">
        <f t="shared" si="0"/>
        <v>-9.9999999999961231E-3</v>
      </c>
      <c r="G32" s="11">
        <v>2.4506999999999999</v>
      </c>
      <c r="H32" s="11">
        <v>2.5506000000000002</v>
      </c>
      <c r="I32" s="11">
        <v>-9.987E-2</v>
      </c>
    </row>
    <row r="33" spans="1:9" x14ac:dyDescent="0.3">
      <c r="A33" s="1">
        <v>-0.25</v>
      </c>
      <c r="B33" s="14">
        <v>-0.24992</v>
      </c>
      <c r="D33" s="3">
        <f t="shared" si="0"/>
        <v>7.999999999999674E-2</v>
      </c>
      <c r="G33" s="11">
        <v>2.3759999999999999</v>
      </c>
      <c r="H33" s="11">
        <v>2.6257999999999999</v>
      </c>
      <c r="I33" s="11">
        <v>-0.24979000000000001</v>
      </c>
    </row>
    <row r="34" spans="1:9" x14ac:dyDescent="0.3">
      <c r="A34" s="1">
        <v>-0.5</v>
      </c>
      <c r="B34" s="14">
        <v>-0.49887999999999999</v>
      </c>
      <c r="D34" s="3">
        <f t="shared" si="0"/>
        <v>1.1200000000000099</v>
      </c>
      <c r="G34" s="11">
        <v>2.2509000000000001</v>
      </c>
      <c r="H34" s="11">
        <v>2.7496</v>
      </c>
      <c r="I34" s="11">
        <v>-0.49874000000000002</v>
      </c>
    </row>
    <row r="35" spans="1:9" x14ac:dyDescent="0.3">
      <c r="A35" s="1">
        <v>-0.75</v>
      </c>
      <c r="B35" s="14">
        <v>-0.74939999999999996</v>
      </c>
      <c r="D35" s="3">
        <f t="shared" si="0"/>
        <v>0.60000000000004494</v>
      </c>
      <c r="G35" s="11">
        <v>2.1257000000000001</v>
      </c>
      <c r="H35" s="11">
        <v>2.875</v>
      </c>
      <c r="I35" s="11">
        <v>-0.74922</v>
      </c>
    </row>
    <row r="36" spans="1:9" x14ac:dyDescent="0.3">
      <c r="A36" s="1">
        <v>-1</v>
      </c>
      <c r="B36" s="14">
        <v>-0.99987999999999999</v>
      </c>
      <c r="D36" s="3">
        <f t="shared" si="0"/>
        <v>0.12000000000000899</v>
      </c>
      <c r="G36" s="11">
        <v>2.0005999999999999</v>
      </c>
      <c r="H36" s="11">
        <v>3.0003000000000002</v>
      </c>
      <c r="I36" s="11">
        <v>-0.99973000000000001</v>
      </c>
    </row>
    <row r="37" spans="1:9" x14ac:dyDescent="0.3">
      <c r="A37" s="1">
        <v>-2</v>
      </c>
      <c r="B37" s="14">
        <v>-1.9996</v>
      </c>
      <c r="D37" s="3">
        <f t="shared" si="0"/>
        <v>0.39999999999995595</v>
      </c>
      <c r="G37" s="11">
        <v>1.5006999999999999</v>
      </c>
      <c r="H37" s="11">
        <v>3.5002</v>
      </c>
      <c r="I37" s="11">
        <v>-1.9995000000000001</v>
      </c>
    </row>
    <row r="38" spans="1:9" x14ac:dyDescent="0.3">
      <c r="A38" s="1">
        <v>-3</v>
      </c>
      <c r="B38" s="14">
        <v>-3.0001000000000002</v>
      </c>
      <c r="D38" s="3">
        <f t="shared" si="0"/>
        <v>-0.10000000000021103</v>
      </c>
      <c r="G38" s="11">
        <v>1.00065</v>
      </c>
      <c r="H38" s="11">
        <v>4.0004999999999997</v>
      </c>
      <c r="I38" s="11">
        <v>-2.9998999999999998</v>
      </c>
    </row>
    <row r="39" spans="1:9" x14ac:dyDescent="0.3">
      <c r="A39" s="1">
        <v>-3.25</v>
      </c>
      <c r="B39" s="14">
        <v>-3.2507999999999999</v>
      </c>
      <c r="D39" s="3">
        <f t="shared" si="0"/>
        <v>-0.79999999999991189</v>
      </c>
      <c r="G39" s="11">
        <v>0.87556999999999996</v>
      </c>
      <c r="H39" s="11">
        <v>4.1261999999999999</v>
      </c>
      <c r="I39" s="11">
        <v>-3.2505999999999999</v>
      </c>
    </row>
    <row r="40" spans="1:9" x14ac:dyDescent="0.3">
      <c r="A40" s="1">
        <v>-3.5</v>
      </c>
      <c r="B40" s="14">
        <v>-3.5009000000000001</v>
      </c>
      <c r="D40" s="3">
        <f t="shared" si="0"/>
        <v>-0.90000000000012292</v>
      </c>
      <c r="G40" s="11">
        <v>0.75085999999999997</v>
      </c>
      <c r="H40" s="11">
        <v>4.2515999999999998</v>
      </c>
      <c r="I40" s="11">
        <v>-3.5007000000000001</v>
      </c>
    </row>
    <row r="41" spans="1:9" x14ac:dyDescent="0.3">
      <c r="A41" s="1">
        <v>-3.75</v>
      </c>
      <c r="B41" s="14">
        <v>-3.75136</v>
      </c>
      <c r="D41" s="3">
        <f t="shared" si="0"/>
        <v>-1.3600000000000279</v>
      </c>
      <c r="G41" s="11">
        <v>0.62578</v>
      </c>
      <c r="H41" s="11">
        <v>4.3769</v>
      </c>
      <c r="I41" s="11">
        <v>-3.7511000000000001</v>
      </c>
    </row>
    <row r="42" spans="1:9" x14ac:dyDescent="0.3">
      <c r="A42" s="1">
        <v>-4</v>
      </c>
      <c r="B42" s="14">
        <v>-4.0016999999999996</v>
      </c>
      <c r="D42" s="3">
        <f t="shared" si="0"/>
        <v>-1.6999999999995907</v>
      </c>
      <c r="G42" s="11">
        <v>0.50070000000000003</v>
      </c>
      <c r="H42" s="11">
        <v>4.5023</v>
      </c>
      <c r="I42" s="11">
        <v>-4.0015999999999998</v>
      </c>
    </row>
    <row r="43" spans="1:9" x14ac:dyDescent="0.3">
      <c r="A43" s="1">
        <v>-4.4000000000000004</v>
      </c>
      <c r="B43" s="14">
        <v>-4.4005000000000001</v>
      </c>
      <c r="D43" s="3">
        <f t="shared" si="0"/>
        <v>-0.49999999999972289</v>
      </c>
      <c r="G43" s="11">
        <v>0.30093999999999999</v>
      </c>
      <c r="H43" s="11">
        <v>4.7012</v>
      </c>
      <c r="I43" s="11">
        <v>-4.4002999999999997</v>
      </c>
    </row>
    <row r="44" spans="1:9" x14ac:dyDescent="0.3">
      <c r="A44" s="1">
        <v>-4.5</v>
      </c>
      <c r="B44" s="14">
        <v>-4.5007000000000001</v>
      </c>
      <c r="D44" s="3">
        <f t="shared" si="0"/>
        <v>-0.70000000000014495</v>
      </c>
      <c r="G44" s="11">
        <v>0.25090000000000001</v>
      </c>
      <c r="H44" s="11">
        <v>4.7514000000000003</v>
      </c>
      <c r="I44" s="11">
        <v>-4.5004999999999997</v>
      </c>
    </row>
    <row r="45" spans="1:9" x14ac:dyDescent="0.3">
      <c r="A45" s="1">
        <v>-4.5999999999999996</v>
      </c>
      <c r="B45" s="14">
        <v>-4.6007999999999996</v>
      </c>
      <c r="D45" s="3">
        <f t="shared" si="0"/>
        <v>-0.79999999999991189</v>
      </c>
      <c r="G45" s="11">
        <v>0.20086999999999999</v>
      </c>
      <c r="H45" s="11">
        <v>4.8014999999999999</v>
      </c>
      <c r="I45" s="11">
        <v>-4.6006999999999998</v>
      </c>
    </row>
    <row r="46" spans="1:9" x14ac:dyDescent="0.3">
      <c r="A46" s="1">
        <v>-4.75</v>
      </c>
      <c r="B46" s="14">
        <v>-4.7511000000000001</v>
      </c>
      <c r="D46" s="3">
        <f t="shared" si="0"/>
        <v>-1.1000000000001009</v>
      </c>
      <c r="G46" s="11">
        <v>0.12581999999999999</v>
      </c>
      <c r="H46" s="11">
        <v>4.8768000000000002</v>
      </c>
      <c r="I46" s="11">
        <v>-4.7508999999999997</v>
      </c>
    </row>
    <row r="47" spans="1:9" x14ac:dyDescent="0.3">
      <c r="A47" s="1">
        <v>-4.9000000000000004</v>
      </c>
      <c r="B47" s="14">
        <v>-4.9013</v>
      </c>
      <c r="D47" s="3">
        <f t="shared" si="0"/>
        <v>-1.2999999999996348</v>
      </c>
      <c r="G47" s="11">
        <v>5.0770000000000003E-2</v>
      </c>
      <c r="H47" s="11">
        <v>4.9572000000000003</v>
      </c>
      <c r="I47" s="11">
        <v>-4.9012000000000002</v>
      </c>
    </row>
    <row r="48" spans="1:9" x14ac:dyDescent="0.3">
      <c r="A48" s="1">
        <v>-5</v>
      </c>
      <c r="B48" s="14">
        <v>-4.9523999999999999</v>
      </c>
      <c r="D48" s="3">
        <f t="shared" si="0"/>
        <v>47.600000000000087</v>
      </c>
      <c r="G48" s="11">
        <v>1.1000000000000001E-3</v>
      </c>
      <c r="H48" s="11">
        <v>4.9954000000000001</v>
      </c>
      <c r="I48" s="11">
        <v>-4.9943999999999997</v>
      </c>
    </row>
    <row r="61" spans="10:11" x14ac:dyDescent="0.3">
      <c r="J61" s="1"/>
      <c r="K61" s="2"/>
    </row>
    <row r="62" spans="10:11" x14ac:dyDescent="0.3">
      <c r="J62" s="1"/>
      <c r="K62" s="2"/>
    </row>
    <row r="63" spans="10:11" x14ac:dyDescent="0.3">
      <c r="K63" s="2"/>
    </row>
    <row r="64" spans="10:11" x14ac:dyDescent="0.3">
      <c r="J64" s="1"/>
    </row>
  </sheetData>
  <mergeCells count="2">
    <mergeCell ref="B4:D4"/>
    <mergeCell ref="B5:D5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Single-ended</vt:lpstr>
      <vt:lpstr>Fully Differential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Schule</dc:creator>
  <cp:lastModifiedBy>Simon Schule</cp:lastModifiedBy>
  <cp:lastPrinted>2020-06-23T11:48:45Z</cp:lastPrinted>
  <dcterms:created xsi:type="dcterms:W3CDTF">2020-06-08T07:35:06Z</dcterms:created>
  <dcterms:modified xsi:type="dcterms:W3CDTF">2020-07-12T19:53:21Z</dcterms:modified>
</cp:coreProperties>
</file>