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\Desktop\Bachelorarbeit\"/>
    </mc:Choice>
  </mc:AlternateContent>
  <xr:revisionPtr revIDLastSave="0" documentId="13_ncr:1_{AEACD2EC-5303-4A12-920E-EEF338ABFD3B}" xr6:coauthVersionLast="45" xr6:coauthVersionMax="45" xr10:uidLastSave="{00000000-0000-0000-0000-000000000000}"/>
  <bookViews>
    <workbookView xWindow="-108" yWindow="-108" windowWidth="23256" windowHeight="12576" xr2:uid="{C670BF0E-70B6-4482-8C4B-633218A2E9A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0" i="1" l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9" i="1"/>
</calcChain>
</file>

<file path=xl/sharedStrings.xml><?xml version="1.0" encoding="utf-8"?>
<sst xmlns="http://schemas.openxmlformats.org/spreadsheetml/2006/main" count="23" uniqueCount="15">
  <si>
    <t>VCC+</t>
  </si>
  <si>
    <t>+5,196 V</t>
  </si>
  <si>
    <t>VCC-</t>
  </si>
  <si>
    <t>-5,202 V</t>
  </si>
  <si>
    <t>In_P</t>
  </si>
  <si>
    <t>In_N</t>
  </si>
  <si>
    <t>GND</t>
  </si>
  <si>
    <t>Buf_P to Buf_N</t>
  </si>
  <si>
    <t>abs deviation</t>
  </si>
  <si>
    <t>Out_P to Out_N</t>
  </si>
  <si>
    <t>LT6203</t>
  </si>
  <si>
    <t>ADA4807</t>
  </si>
  <si>
    <t>Tested on adapter board 3v02</t>
  </si>
  <si>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Calibri"/>
        <family val="2"/>
      </rPr>
      <t xml:space="preserve">5.2V by internal power supply </t>
    </r>
    <r>
      <rPr>
        <sz val="11"/>
        <color theme="1"/>
        <rFont val="Calibri"/>
        <family val="1"/>
        <charset val="2"/>
      </rPr>
      <t>(without TVS-diode)</t>
    </r>
  </si>
  <si>
    <r>
      <t xml:space="preserve">Single Ended vs GND with </t>
    </r>
    <r>
      <rPr>
        <b/>
        <sz val="11"/>
        <color theme="1"/>
        <rFont val="Calibri"/>
        <family val="2"/>
        <scheme val="minor"/>
      </rPr>
      <t>1kOhm, 0.1%</t>
    </r>
    <r>
      <rPr>
        <sz val="11"/>
        <color theme="1"/>
        <rFont val="Calibri"/>
        <family val="2"/>
        <scheme val="minor"/>
      </rPr>
      <t xml:space="preserve"> feedback resistors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</si>
</sst>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&quot;mV&quot;"/>
  </numFmts>
  <fonts count="6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1"/>
      <charset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quotePrefix="1" applyBorder="1"/>
    <xf numFmtId="0" fontId="0" fillId="3" borderId="0" xfId="0" applyFill="1"/>
    <xf numFmtId="2" fontId="0" fillId="0" borderId="0" xfId="0" applyNumberFormat="1"/>
    <xf numFmtId="0" fontId="0" fillId="0" borderId="0" xfId="0" applyAlignment="1">
      <alignment horizontal="right"/>
    </xf>
    <xf numFmtId="2" fontId="0" fillId="0" borderId="3" xfId="0" applyNumberFormat="1" applyBorder="1"/>
    <xf numFmtId="0" fontId="0" fillId="0" borderId="3" xfId="0" applyBorder="1"/>
    <xf numFmtId="0" fontId="3" fillId="0" borderId="0" xfId="0" applyFont="1"/>
    <xf numFmtId="0" fontId="0" fillId="3" borderId="0" xfId="0" applyFont="1" applyFill="1"/>
    <xf numFmtId="0" fontId="0" fillId="0" borderId="0" xfId="0" applyBorder="1"/>
    <xf numFmtId="0" fontId="0" fillId="0" borderId="0" xfId="0" applyFill="1" applyBorder="1"/>
    <xf numFmtId="0" fontId="0" fillId="0" borderId="0" xfId="0" applyFill="1" applyBorder="1" applyAlignment="1"/>
    <xf numFmtId="164" fontId="0" fillId="3" borderId="0" xfId="0" applyNumberFormat="1" applyFill="1"/>
    <xf numFmtId="0" fontId="0" fillId="0" borderId="0" xfId="0" applyFont="1" applyFill="1" applyBorder="1"/>
    <xf numFmtId="2" fontId="0" fillId="0" borderId="0" xfId="0" applyNumberFormat="1" applyFill="1" applyBorder="1"/>
    <xf numFmtId="164" fontId="0" fillId="0" borderId="0" xfId="0" applyNumberFormat="1" applyFill="1" applyBorder="1"/>
    <xf numFmtId="0" fontId="0" fillId="0" borderId="0" xfId="0" applyFill="1" applyBorder="1" applyAlignment="1">
      <alignment horizontal="right"/>
    </xf>
    <xf numFmtId="0" fontId="3" fillId="0" borderId="0" xfId="0" applyFont="1" applyFill="1" applyBorder="1"/>
    <xf numFmtId="0" fontId="4" fillId="2" borderId="0" xfId="0" applyFont="1" applyFill="1"/>
    <xf numFmtId="164" fontId="0" fillId="3" borderId="3" xfId="0" applyNumberFormat="1" applyFill="1" applyBorder="1"/>
    <xf numFmtId="0" fontId="0" fillId="2" borderId="2" xfId="0" applyFill="1" applyBorder="1" applyAlignment="1">
      <alignment horizontal="center"/>
    </xf>
    <xf numFmtId="0" fontId="5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ADA4807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Tabelle1!$G$12:$G$50</c:f>
              <c:numCache>
                <c:formatCode>0.00</c:formatCode>
                <c:ptCount val="39"/>
                <c:pt idx="0">
                  <c:v>4.9000000000000004</c:v>
                </c:pt>
                <c:pt idx="1">
                  <c:v>4.75</c:v>
                </c:pt>
                <c:pt idx="2">
                  <c:v>4.5999999999999996</c:v>
                </c:pt>
                <c:pt idx="3">
                  <c:v>4.5</c:v>
                </c:pt>
                <c:pt idx="4">
                  <c:v>4.4000000000000004</c:v>
                </c:pt>
                <c:pt idx="5">
                  <c:v>4</c:v>
                </c:pt>
                <c:pt idx="6">
                  <c:v>3.75</c:v>
                </c:pt>
                <c:pt idx="7">
                  <c:v>3.5</c:v>
                </c:pt>
                <c:pt idx="8">
                  <c:v>3.25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0.75</c:v>
                </c:pt>
                <c:pt idx="13">
                  <c:v>0.5</c:v>
                </c:pt>
                <c:pt idx="14">
                  <c:v>0.25</c:v>
                </c:pt>
                <c:pt idx="15">
                  <c:v>0.1</c:v>
                </c:pt>
                <c:pt idx="16">
                  <c:v>0.05</c:v>
                </c:pt>
                <c:pt idx="17">
                  <c:v>0.02</c:v>
                </c:pt>
                <c:pt idx="18">
                  <c:v>0.01</c:v>
                </c:pt>
                <c:pt idx="19">
                  <c:v>0</c:v>
                </c:pt>
                <c:pt idx="20">
                  <c:v>-0.01</c:v>
                </c:pt>
                <c:pt idx="21">
                  <c:v>-0.02</c:v>
                </c:pt>
                <c:pt idx="22">
                  <c:v>-0.05</c:v>
                </c:pt>
                <c:pt idx="23">
                  <c:v>-0.1</c:v>
                </c:pt>
                <c:pt idx="24">
                  <c:v>-0.25</c:v>
                </c:pt>
                <c:pt idx="25">
                  <c:v>-0.5</c:v>
                </c:pt>
                <c:pt idx="26">
                  <c:v>-0.75</c:v>
                </c:pt>
                <c:pt idx="27">
                  <c:v>-1</c:v>
                </c:pt>
                <c:pt idx="28">
                  <c:v>-2</c:v>
                </c:pt>
                <c:pt idx="29">
                  <c:v>-3</c:v>
                </c:pt>
                <c:pt idx="30">
                  <c:v>-3.25</c:v>
                </c:pt>
                <c:pt idx="31">
                  <c:v>-3.5</c:v>
                </c:pt>
                <c:pt idx="32">
                  <c:v>-3.75</c:v>
                </c:pt>
                <c:pt idx="33">
                  <c:v>-4</c:v>
                </c:pt>
                <c:pt idx="34">
                  <c:v>-4.4000000000000004</c:v>
                </c:pt>
                <c:pt idx="35">
                  <c:v>-4.5</c:v>
                </c:pt>
                <c:pt idx="36">
                  <c:v>-4.5999999999999996</c:v>
                </c:pt>
                <c:pt idx="37">
                  <c:v>-4.75</c:v>
                </c:pt>
                <c:pt idx="38">
                  <c:v>-4.9000000000000004</c:v>
                </c:pt>
              </c:numCache>
            </c:numRef>
          </c:cat>
          <c:val>
            <c:numRef>
              <c:f>Tabelle1!$K$12:$K$50</c:f>
              <c:numCache>
                <c:formatCode>0.00\ "mV"</c:formatCode>
                <c:ptCount val="39"/>
                <c:pt idx="0">
                  <c:v>0.51999999999985391</c:v>
                </c:pt>
                <c:pt idx="1">
                  <c:v>0.740000000000407</c:v>
                </c:pt>
                <c:pt idx="2">
                  <c:v>0.57000000000062556</c:v>
                </c:pt>
                <c:pt idx="3">
                  <c:v>0.42000000000008697</c:v>
                </c:pt>
                <c:pt idx="4">
                  <c:v>0.30999999999981043</c:v>
                </c:pt>
                <c:pt idx="5">
                  <c:v>0.25000000000030553</c:v>
                </c:pt>
                <c:pt idx="6">
                  <c:v>0.34000000000000696</c:v>
                </c:pt>
                <c:pt idx="7">
                  <c:v>0.41000000000002146</c:v>
                </c:pt>
                <c:pt idx="8">
                  <c:v>0.11999999999989797</c:v>
                </c:pt>
                <c:pt idx="9">
                  <c:v>0.16000000000016001</c:v>
                </c:pt>
                <c:pt idx="10">
                  <c:v>-0.32999999999994145</c:v>
                </c:pt>
                <c:pt idx="11">
                  <c:v>-0.41500000000005421</c:v>
                </c:pt>
                <c:pt idx="12">
                  <c:v>-0.25699999999995171</c:v>
                </c:pt>
                <c:pt idx="13">
                  <c:v>-0.4649999999999932</c:v>
                </c:pt>
                <c:pt idx="14">
                  <c:v>-0.29000000000001247</c:v>
                </c:pt>
                <c:pt idx="15">
                  <c:v>-0.41200000000000958</c:v>
                </c:pt>
                <c:pt idx="16">
                  <c:v>-0.45000000000000595</c:v>
                </c:pt>
                <c:pt idx="17">
                  <c:v>-0.32000000000000084</c:v>
                </c:pt>
                <c:pt idx="18">
                  <c:v>-0.38999999999999974</c:v>
                </c:pt>
                <c:pt idx="19">
                  <c:v>-0.15</c:v>
                </c:pt>
                <c:pt idx="20">
                  <c:v>-0.70499999999999907</c:v>
                </c:pt>
                <c:pt idx="21">
                  <c:v>-0.7699999999999998</c:v>
                </c:pt>
                <c:pt idx="22">
                  <c:v>-0.6459999999999938</c:v>
                </c:pt>
                <c:pt idx="23">
                  <c:v>-0.68699999999999317</c:v>
                </c:pt>
                <c:pt idx="24">
                  <c:v>-0.79499999999999016</c:v>
                </c:pt>
                <c:pt idx="25">
                  <c:v>-0.59900000000001619</c:v>
                </c:pt>
                <c:pt idx="26">
                  <c:v>-0.77300000000002367</c:v>
                </c:pt>
                <c:pt idx="27">
                  <c:v>-0.59600000000004094</c:v>
                </c:pt>
                <c:pt idx="28">
                  <c:v>-0.58999999999986841</c:v>
                </c:pt>
                <c:pt idx="29">
                  <c:v>-0.98000000000020293</c:v>
                </c:pt>
                <c:pt idx="30">
                  <c:v>-0.91000000000018844</c:v>
                </c:pt>
                <c:pt idx="31">
                  <c:v>-1.1899999999998023</c:v>
                </c:pt>
                <c:pt idx="32">
                  <c:v>-1.1000000000001009</c:v>
                </c:pt>
                <c:pt idx="33">
                  <c:v>-0.98999999999982435</c:v>
                </c:pt>
                <c:pt idx="34">
                  <c:v>-0.96999999999969333</c:v>
                </c:pt>
                <c:pt idx="35">
                  <c:v>-1.0599999999998388</c:v>
                </c:pt>
                <c:pt idx="36">
                  <c:v>-1.200000000000756</c:v>
                </c:pt>
                <c:pt idx="37">
                  <c:v>-1.3699999999996493</c:v>
                </c:pt>
                <c:pt idx="38">
                  <c:v>-1.1699999999992272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96-4AAF-BF45-255BF51D6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8957880"/>
        <c:axId val="288956568"/>
      </c:barChart>
      <c:catAx>
        <c:axId val="288957880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88956568"/>
        <c:crosses val="autoZero"/>
        <c:auto val="1"/>
        <c:lblAlgn val="ctr"/>
        <c:lblOffset val="100"/>
        <c:noMultiLvlLbl val="0"/>
      </c:catAx>
      <c:valAx>
        <c:axId val="288956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V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88957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LT6203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Tabelle1!$A$12:$A$50</c:f>
              <c:numCache>
                <c:formatCode>0.00</c:formatCode>
                <c:ptCount val="39"/>
                <c:pt idx="0">
                  <c:v>4.9000000000000004</c:v>
                </c:pt>
                <c:pt idx="1">
                  <c:v>4.75</c:v>
                </c:pt>
                <c:pt idx="2">
                  <c:v>4.5999999999999996</c:v>
                </c:pt>
                <c:pt idx="3">
                  <c:v>4.5</c:v>
                </c:pt>
                <c:pt idx="4">
                  <c:v>4.4000000000000004</c:v>
                </c:pt>
                <c:pt idx="5">
                  <c:v>4</c:v>
                </c:pt>
                <c:pt idx="6">
                  <c:v>3.75</c:v>
                </c:pt>
                <c:pt idx="7">
                  <c:v>3.5</c:v>
                </c:pt>
                <c:pt idx="8">
                  <c:v>3.25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0.75</c:v>
                </c:pt>
                <c:pt idx="13">
                  <c:v>0.5</c:v>
                </c:pt>
                <c:pt idx="14">
                  <c:v>0.25</c:v>
                </c:pt>
                <c:pt idx="15">
                  <c:v>0.1</c:v>
                </c:pt>
                <c:pt idx="16">
                  <c:v>0.05</c:v>
                </c:pt>
                <c:pt idx="17">
                  <c:v>0.02</c:v>
                </c:pt>
                <c:pt idx="18">
                  <c:v>0.01</c:v>
                </c:pt>
                <c:pt idx="19">
                  <c:v>0</c:v>
                </c:pt>
                <c:pt idx="20">
                  <c:v>-0.01</c:v>
                </c:pt>
                <c:pt idx="21">
                  <c:v>-0.02</c:v>
                </c:pt>
                <c:pt idx="22">
                  <c:v>-0.05</c:v>
                </c:pt>
                <c:pt idx="23">
                  <c:v>-0.1</c:v>
                </c:pt>
                <c:pt idx="24">
                  <c:v>-0.25</c:v>
                </c:pt>
                <c:pt idx="25">
                  <c:v>-0.5</c:v>
                </c:pt>
                <c:pt idx="26">
                  <c:v>-0.75</c:v>
                </c:pt>
                <c:pt idx="27">
                  <c:v>-1</c:v>
                </c:pt>
                <c:pt idx="28">
                  <c:v>-2</c:v>
                </c:pt>
                <c:pt idx="29">
                  <c:v>-3</c:v>
                </c:pt>
                <c:pt idx="30">
                  <c:v>-3.25</c:v>
                </c:pt>
                <c:pt idx="31">
                  <c:v>-3.5</c:v>
                </c:pt>
                <c:pt idx="32">
                  <c:v>-3.75</c:v>
                </c:pt>
                <c:pt idx="33">
                  <c:v>-4</c:v>
                </c:pt>
                <c:pt idx="34">
                  <c:v>-4.4000000000000004</c:v>
                </c:pt>
                <c:pt idx="35">
                  <c:v>-4.5</c:v>
                </c:pt>
                <c:pt idx="36">
                  <c:v>-4.5999999999999996</c:v>
                </c:pt>
                <c:pt idx="37">
                  <c:v>-4.75</c:v>
                </c:pt>
                <c:pt idx="38">
                  <c:v>-4.9000000000000004</c:v>
                </c:pt>
              </c:numCache>
            </c:numRef>
          </c:cat>
          <c:val>
            <c:numRef>
              <c:f>Tabelle1!$E$12:$E$50</c:f>
              <c:numCache>
                <c:formatCode>0.00\ "mV"</c:formatCode>
                <c:ptCount val="39"/>
                <c:pt idx="0">
                  <c:v>0.42000000000008697</c:v>
                </c:pt>
                <c:pt idx="1">
                  <c:v>0.68000000000001393</c:v>
                </c:pt>
                <c:pt idx="2">
                  <c:v>0.57000000000062556</c:v>
                </c:pt>
                <c:pt idx="3">
                  <c:v>0.49999999999972289</c:v>
                </c:pt>
                <c:pt idx="4">
                  <c:v>0.39999999999995595</c:v>
                </c:pt>
                <c:pt idx="5">
                  <c:v>-0.18999999999991246</c:v>
                </c:pt>
                <c:pt idx="6">
                  <c:v>-1.0000000000065512E-2</c:v>
                </c:pt>
                <c:pt idx="7">
                  <c:v>0.16999999999978144</c:v>
                </c:pt>
                <c:pt idx="8">
                  <c:v>-3.9999999999817959E-2</c:v>
                </c:pt>
                <c:pt idx="9">
                  <c:v>0.12999999999996348</c:v>
                </c:pt>
                <c:pt idx="10">
                  <c:v>8.0000000000080007E-2</c:v>
                </c:pt>
                <c:pt idx="11">
                  <c:v>0.42999999999993044</c:v>
                </c:pt>
                <c:pt idx="12">
                  <c:v>0.70000000000003393</c:v>
                </c:pt>
                <c:pt idx="13">
                  <c:v>0.59900000000001619</c:v>
                </c:pt>
                <c:pt idx="14">
                  <c:v>0.88500000000002466</c:v>
                </c:pt>
                <c:pt idx="15">
                  <c:v>0.82999999999999741</c:v>
                </c:pt>
                <c:pt idx="16">
                  <c:v>0.80699999999999528</c:v>
                </c:pt>
                <c:pt idx="17">
                  <c:v>0.94100000000000084</c:v>
                </c:pt>
                <c:pt idx="18">
                  <c:v>0.85400000000000054</c:v>
                </c:pt>
                <c:pt idx="19">
                  <c:v>1.1399999999999999</c:v>
                </c:pt>
                <c:pt idx="20">
                  <c:v>0.62500000000000056</c:v>
                </c:pt>
                <c:pt idx="21">
                  <c:v>0.55099999999999938</c:v>
                </c:pt>
                <c:pt idx="22">
                  <c:v>0.68300000000000305</c:v>
                </c:pt>
                <c:pt idx="23">
                  <c:v>0.6590000000000068</c:v>
                </c:pt>
                <c:pt idx="24">
                  <c:v>0.57999999999999718</c:v>
                </c:pt>
                <c:pt idx="25">
                  <c:v>0.81999999999998741</c:v>
                </c:pt>
                <c:pt idx="26">
                  <c:v>0.68000000000001393</c:v>
                </c:pt>
                <c:pt idx="27">
                  <c:v>0.9000000000000119</c:v>
                </c:pt>
                <c:pt idx="28">
                  <c:v>1.0600000000000609</c:v>
                </c:pt>
                <c:pt idx="29">
                  <c:v>0.83000000000010843</c:v>
                </c:pt>
                <c:pt idx="30">
                  <c:v>0.97000000000013742</c:v>
                </c:pt>
                <c:pt idx="31">
                  <c:v>0.71999999999983189</c:v>
                </c:pt>
                <c:pt idx="32">
                  <c:v>0.85999999999986088</c:v>
                </c:pt>
                <c:pt idx="33">
                  <c:v>0.99999999999988987</c:v>
                </c:pt>
                <c:pt idx="34">
                  <c:v>7.0000000000014495E-2</c:v>
                </c:pt>
                <c:pt idx="35">
                  <c:v>-2.9999999999752447E-2</c:v>
                </c:pt>
                <c:pt idx="36">
                  <c:v>-0.14000000000002899</c:v>
                </c:pt>
                <c:pt idx="37">
                  <c:v>-0.28000000000005798</c:v>
                </c:pt>
                <c:pt idx="38">
                  <c:v>-7.0000000000014495E-2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A6-4463-8E87-1562E9695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4144400"/>
        <c:axId val="284143744"/>
      </c:barChart>
      <c:catAx>
        <c:axId val="284144400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84143744"/>
        <c:crosses val="autoZero"/>
        <c:auto val="1"/>
        <c:lblAlgn val="ctr"/>
        <c:lblOffset val="100"/>
        <c:noMultiLvlLbl val="0"/>
      </c:catAx>
      <c:valAx>
        <c:axId val="28414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V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8414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2598</xdr:colOff>
      <xdr:row>23</xdr:row>
      <xdr:rowOff>4763</xdr:rowOff>
    </xdr:from>
    <xdr:to>
      <xdr:col>16</xdr:col>
      <xdr:colOff>945572</xdr:colOff>
      <xdr:row>38</xdr:row>
      <xdr:rowOff>176646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E4E3C6ED-0027-470C-8FA9-4D2E11FD04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5862</xdr:colOff>
      <xdr:row>6</xdr:row>
      <xdr:rowOff>3299</xdr:rowOff>
    </xdr:from>
    <xdr:to>
      <xdr:col>16</xdr:col>
      <xdr:colOff>945572</xdr:colOff>
      <xdr:row>21</xdr:row>
      <xdr:rowOff>180110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5EAB69DF-CF8D-4C01-BD94-CC759F258F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B850D-1CE6-492B-935A-40B1184D3A88}">
  <dimension ref="A1:Q53"/>
  <sheetViews>
    <sheetView tabSelected="1" zoomScaleNormal="100" workbookViewId="0">
      <selection activeCell="M5" sqref="M5"/>
    </sheetView>
  </sheetViews>
  <sheetFormatPr baseColWidth="10" defaultRowHeight="14.4"/>
  <cols>
    <col min="2" max="5" width="13.77734375" customWidth="1"/>
    <col min="8" max="11" width="13.77734375" customWidth="1"/>
    <col min="13" max="13" width="11.5546875" customWidth="1"/>
    <col min="14" max="17" width="13.77734375" customWidth="1"/>
  </cols>
  <sheetData>
    <row r="1" spans="1:17">
      <c r="A1" s="1" t="s">
        <v>14</v>
      </c>
      <c r="B1" s="1"/>
      <c r="C1" s="1"/>
      <c r="D1" s="1"/>
      <c r="F1" s="2" t="s">
        <v>0</v>
      </c>
      <c r="G1" s="3" t="s">
        <v>1</v>
      </c>
    </row>
    <row r="2" spans="1:17">
      <c r="A2" s="20" t="s">
        <v>13</v>
      </c>
      <c r="B2" s="1"/>
      <c r="C2" s="1"/>
      <c r="D2" s="1"/>
      <c r="F2" s="2" t="s">
        <v>2</v>
      </c>
      <c r="G2" s="3" t="s">
        <v>3</v>
      </c>
    </row>
    <row r="3" spans="1:17">
      <c r="A3" s="23" t="s">
        <v>12</v>
      </c>
      <c r="B3" s="1"/>
      <c r="C3" s="1"/>
      <c r="D3" s="1"/>
    </row>
    <row r="4" spans="1:17">
      <c r="A4" s="2" t="s">
        <v>4</v>
      </c>
      <c r="B4" s="2" t="s">
        <v>4</v>
      </c>
    </row>
    <row r="5" spans="1:17">
      <c r="A5" s="2" t="s">
        <v>5</v>
      </c>
      <c r="B5" s="2" t="s">
        <v>6</v>
      </c>
    </row>
    <row r="7" spans="1:17">
      <c r="A7" s="22" t="s">
        <v>10</v>
      </c>
      <c r="B7" s="22"/>
      <c r="C7" s="22"/>
      <c r="D7" s="22"/>
      <c r="E7" s="22"/>
      <c r="G7" s="22" t="s">
        <v>11</v>
      </c>
      <c r="H7" s="22"/>
      <c r="I7" s="22"/>
      <c r="J7" s="22"/>
      <c r="K7" s="22"/>
      <c r="L7" s="12"/>
      <c r="M7" s="13"/>
      <c r="N7" s="13"/>
      <c r="O7" s="13"/>
      <c r="P7" s="13"/>
      <c r="Q7" s="13"/>
    </row>
    <row r="8" spans="1:17">
      <c r="A8" s="4" t="s">
        <v>4</v>
      </c>
      <c r="B8" s="4" t="s">
        <v>7</v>
      </c>
      <c r="C8" s="4" t="s">
        <v>8</v>
      </c>
      <c r="D8" s="4" t="s">
        <v>9</v>
      </c>
      <c r="E8" s="10" t="s">
        <v>8</v>
      </c>
      <c r="G8" s="4" t="s">
        <v>4</v>
      </c>
      <c r="H8" s="4" t="s">
        <v>7</v>
      </c>
      <c r="I8" s="4" t="s">
        <v>8</v>
      </c>
      <c r="J8" s="4" t="s">
        <v>9</v>
      </c>
      <c r="K8" s="10" t="s">
        <v>8</v>
      </c>
      <c r="L8" s="12"/>
      <c r="M8" s="12"/>
      <c r="N8" s="12"/>
      <c r="O8" s="12"/>
      <c r="P8" s="12"/>
      <c r="Q8" s="15"/>
    </row>
    <row r="9" spans="1:17">
      <c r="A9" s="5">
        <v>5.2</v>
      </c>
      <c r="B9">
        <v>5.1851000000000003</v>
      </c>
      <c r="C9" s="14">
        <f>PRODUCT(B9-A9,1000)</f>
        <v>-14.899999999999913</v>
      </c>
      <c r="D9">
        <v>5.0939199999999998</v>
      </c>
      <c r="E9" s="14">
        <f>PRODUCT(D9-A9,1000)</f>
        <v>-106.0800000000004</v>
      </c>
      <c r="G9" s="5">
        <v>5.2</v>
      </c>
      <c r="H9">
        <v>5.1858000000000004</v>
      </c>
      <c r="I9" s="14">
        <f>PRODUCT(H9-G9,1000)</f>
        <v>-14.199999999999768</v>
      </c>
      <c r="J9">
        <v>5.09605</v>
      </c>
      <c r="K9" s="14">
        <f>PRODUCT(J9-G9,1000)</f>
        <v>-103.95000000000022</v>
      </c>
      <c r="L9" s="11"/>
      <c r="M9" s="16"/>
      <c r="N9" s="12"/>
      <c r="O9" s="12"/>
      <c r="P9" s="12"/>
      <c r="Q9" s="17"/>
    </row>
    <row r="10" spans="1:17">
      <c r="A10" s="5">
        <v>5.0999999999999996</v>
      </c>
      <c r="B10">
        <v>5.1010999999999997</v>
      </c>
      <c r="C10" s="14">
        <f t="shared" ref="C10:C53" si="0">PRODUCT(B10-A10,1000)</f>
        <v>1.1000000000001009</v>
      </c>
      <c r="D10">
        <v>5.04148</v>
      </c>
      <c r="E10" s="14">
        <f t="shared" ref="E10:E53" si="1">PRODUCT(D10-A10,1000)</f>
        <v>-58.519999999999683</v>
      </c>
      <c r="G10" s="5">
        <v>5.0999999999999996</v>
      </c>
      <c r="H10">
        <v>5.0997000000000003</v>
      </c>
      <c r="I10" s="14">
        <f t="shared" ref="I10:I53" si="2">PRODUCT(H10-G10,1000)</f>
        <v>-0.29999999999930083</v>
      </c>
      <c r="J10">
        <v>5.0419099999999997</v>
      </c>
      <c r="K10" s="14">
        <f t="shared" ref="K10:K53" si="3">PRODUCT(J10-G10,1000)</f>
        <v>-58.089999999999975</v>
      </c>
      <c r="L10" s="11"/>
      <c r="M10" s="16"/>
      <c r="N10" s="12"/>
      <c r="O10" s="12"/>
      <c r="P10" s="12"/>
      <c r="Q10" s="17"/>
    </row>
    <row r="11" spans="1:17">
      <c r="A11" s="5">
        <v>5</v>
      </c>
      <c r="B11">
        <v>5.0010000000000003</v>
      </c>
      <c r="C11" s="14">
        <f t="shared" si="0"/>
        <v>1.000000000000334</v>
      </c>
      <c r="D11">
        <v>4.9752299999999998</v>
      </c>
      <c r="E11" s="14">
        <f t="shared" si="1"/>
        <v>-24.770000000000181</v>
      </c>
      <c r="G11" s="5">
        <v>5</v>
      </c>
      <c r="H11">
        <v>5.0000999999999998</v>
      </c>
      <c r="I11" s="14">
        <f t="shared" si="2"/>
        <v>9.9999999999766942E-2</v>
      </c>
      <c r="J11">
        <v>4.9758800000000001</v>
      </c>
      <c r="K11" s="14">
        <f t="shared" si="3"/>
        <v>-24.119999999999919</v>
      </c>
      <c r="L11" s="11"/>
      <c r="M11" s="16"/>
      <c r="N11" s="12"/>
      <c r="O11" s="12"/>
      <c r="P11" s="12"/>
      <c r="Q11" s="17"/>
    </row>
    <row r="12" spans="1:17">
      <c r="A12" s="5">
        <v>4.9000000000000004</v>
      </c>
      <c r="B12">
        <v>4.9009</v>
      </c>
      <c r="C12" s="14">
        <f t="shared" si="0"/>
        <v>0.89999999999967883</v>
      </c>
      <c r="D12">
        <v>4.9004200000000004</v>
      </c>
      <c r="E12" s="14">
        <f t="shared" si="1"/>
        <v>0.42000000000008697</v>
      </c>
      <c r="G12" s="5">
        <v>4.9000000000000004</v>
      </c>
      <c r="H12">
        <v>4.9000000000000004</v>
      </c>
      <c r="I12" s="14">
        <f t="shared" si="2"/>
        <v>0</v>
      </c>
      <c r="J12">
        <v>4.9005200000000002</v>
      </c>
      <c r="K12" s="14">
        <f t="shared" si="3"/>
        <v>0.51999999999985391</v>
      </c>
      <c r="L12" s="11"/>
      <c r="M12" s="16"/>
      <c r="N12" s="12"/>
      <c r="O12" s="12"/>
      <c r="P12" s="12"/>
      <c r="Q12" s="17"/>
    </row>
    <row r="13" spans="1:17">
      <c r="A13" s="5">
        <v>4.75</v>
      </c>
      <c r="B13" s="6">
        <v>4.7511000000000001</v>
      </c>
      <c r="C13" s="14">
        <f t="shared" si="0"/>
        <v>1.1000000000001009</v>
      </c>
      <c r="D13">
        <v>4.75068</v>
      </c>
      <c r="E13" s="14">
        <f t="shared" si="1"/>
        <v>0.68000000000001393</v>
      </c>
      <c r="G13" s="5">
        <v>4.75</v>
      </c>
      <c r="H13" s="6">
        <v>4.7502000000000004</v>
      </c>
      <c r="I13" s="14">
        <f t="shared" si="2"/>
        <v>0.20000000000042206</v>
      </c>
      <c r="J13">
        <v>4.7507400000000004</v>
      </c>
      <c r="K13" s="14">
        <f t="shared" si="3"/>
        <v>0.740000000000407</v>
      </c>
      <c r="L13" s="11"/>
      <c r="M13" s="16"/>
      <c r="N13" s="18"/>
      <c r="O13" s="12"/>
      <c r="P13" s="12"/>
      <c r="Q13" s="17"/>
    </row>
    <row r="14" spans="1:17">
      <c r="A14" s="5">
        <v>4.5999999999999996</v>
      </c>
      <c r="B14">
        <v>4.601</v>
      </c>
      <c r="C14" s="14">
        <f t="shared" si="0"/>
        <v>1.000000000000334</v>
      </c>
      <c r="D14">
        <v>4.6005700000000003</v>
      </c>
      <c r="E14" s="14">
        <f t="shared" si="1"/>
        <v>0.57000000000062556</v>
      </c>
      <c r="G14" s="5">
        <v>4.5999999999999996</v>
      </c>
      <c r="H14">
        <v>4.6001000000000003</v>
      </c>
      <c r="I14" s="14">
        <f t="shared" si="2"/>
        <v>0.10000000000065512</v>
      </c>
      <c r="J14">
        <v>4.6005700000000003</v>
      </c>
      <c r="K14" s="14">
        <f t="shared" si="3"/>
        <v>0.57000000000062556</v>
      </c>
      <c r="L14" s="11"/>
      <c r="M14" s="16"/>
      <c r="N14" s="12"/>
      <c r="O14" s="12"/>
      <c r="P14" s="12"/>
      <c r="Q14" s="17"/>
    </row>
    <row r="15" spans="1:17">
      <c r="A15" s="5">
        <v>4.5</v>
      </c>
      <c r="B15">
        <v>4.5008999999999997</v>
      </c>
      <c r="C15" s="14">
        <f t="shared" si="0"/>
        <v>0.89999999999967883</v>
      </c>
      <c r="D15">
        <v>4.5004999999999997</v>
      </c>
      <c r="E15" s="14">
        <f t="shared" si="1"/>
        <v>0.49999999999972289</v>
      </c>
      <c r="G15" s="5">
        <v>4.5</v>
      </c>
      <c r="H15">
        <v>4.5</v>
      </c>
      <c r="I15" s="14">
        <f t="shared" si="2"/>
        <v>0</v>
      </c>
      <c r="J15">
        <v>4.5004200000000001</v>
      </c>
      <c r="K15" s="14">
        <f t="shared" si="3"/>
        <v>0.42000000000008697</v>
      </c>
      <c r="L15" s="11"/>
      <c r="M15" s="16"/>
      <c r="N15" s="12"/>
      <c r="O15" s="12"/>
      <c r="P15" s="12"/>
      <c r="Q15" s="17"/>
    </row>
    <row r="16" spans="1:17">
      <c r="A16" s="5">
        <v>4.4000000000000004</v>
      </c>
      <c r="B16">
        <v>4.4008000000000003</v>
      </c>
      <c r="C16" s="14">
        <f t="shared" si="0"/>
        <v>0.79999999999991189</v>
      </c>
      <c r="D16">
        <v>4.4004000000000003</v>
      </c>
      <c r="E16" s="14">
        <f t="shared" si="1"/>
        <v>0.39999999999995595</v>
      </c>
      <c r="G16" s="5">
        <v>4.4000000000000004</v>
      </c>
      <c r="H16">
        <v>4.3998999999999997</v>
      </c>
      <c r="I16" s="14">
        <f t="shared" si="2"/>
        <v>-0.10000000000065512</v>
      </c>
      <c r="J16">
        <v>4.4003100000000002</v>
      </c>
      <c r="K16" s="14">
        <f t="shared" si="3"/>
        <v>0.30999999999981043</v>
      </c>
      <c r="L16" s="11"/>
      <c r="M16" s="16"/>
      <c r="N16" s="12"/>
      <c r="O16" s="12"/>
      <c r="P16" s="12"/>
      <c r="Q16" s="17"/>
    </row>
    <row r="17" spans="1:17">
      <c r="A17" s="5">
        <v>4</v>
      </c>
      <c r="B17">
        <v>4.0000999999999998</v>
      </c>
      <c r="C17" s="14">
        <f t="shared" si="0"/>
        <v>9.9999999999766942E-2</v>
      </c>
      <c r="D17">
        <v>3.9998100000000001</v>
      </c>
      <c r="E17" s="14">
        <f t="shared" si="1"/>
        <v>-0.18999999999991246</v>
      </c>
      <c r="G17" s="5">
        <v>4</v>
      </c>
      <c r="H17">
        <v>3.9998999999999998</v>
      </c>
      <c r="I17" s="14">
        <f t="shared" si="2"/>
        <v>-0.10000000000021103</v>
      </c>
      <c r="J17">
        <v>4.0002500000000003</v>
      </c>
      <c r="K17" s="14">
        <f t="shared" si="3"/>
        <v>0.25000000000030553</v>
      </c>
      <c r="L17" s="11"/>
      <c r="M17" s="16"/>
      <c r="N17" s="12"/>
      <c r="O17" s="12"/>
      <c r="P17" s="12"/>
      <c r="Q17" s="17"/>
    </row>
    <row r="18" spans="1:17">
      <c r="A18" s="5">
        <v>3.75</v>
      </c>
      <c r="B18">
        <v>3.7502</v>
      </c>
      <c r="C18" s="14">
        <f t="shared" si="0"/>
        <v>0.19999999999997797</v>
      </c>
      <c r="D18">
        <v>3.7499899999999999</v>
      </c>
      <c r="E18" s="14">
        <f t="shared" si="1"/>
        <v>-1.0000000000065512E-2</v>
      </c>
      <c r="G18" s="5">
        <v>3.75</v>
      </c>
      <c r="H18">
        <v>3.75</v>
      </c>
      <c r="I18" s="14">
        <f t="shared" si="2"/>
        <v>0</v>
      </c>
      <c r="J18">
        <v>3.75034</v>
      </c>
      <c r="K18" s="14">
        <f t="shared" si="3"/>
        <v>0.34000000000000696</v>
      </c>
      <c r="L18" s="11"/>
      <c r="M18" s="16"/>
      <c r="N18" s="12"/>
      <c r="O18" s="12"/>
      <c r="P18" s="12"/>
      <c r="Q18" s="17"/>
    </row>
    <row r="19" spans="1:17">
      <c r="A19" s="5">
        <v>3.5</v>
      </c>
      <c r="B19">
        <v>3.5003000000000002</v>
      </c>
      <c r="C19" s="14">
        <f t="shared" si="0"/>
        <v>0.300000000000189</v>
      </c>
      <c r="D19">
        <v>3.5001699999999998</v>
      </c>
      <c r="E19" s="14">
        <f t="shared" si="1"/>
        <v>0.16999999999978144</v>
      </c>
      <c r="G19" s="5">
        <v>3.5</v>
      </c>
      <c r="H19">
        <v>3.5002</v>
      </c>
      <c r="I19" s="14">
        <f t="shared" si="2"/>
        <v>0.19999999999997797</v>
      </c>
      <c r="J19">
        <v>3.50041</v>
      </c>
      <c r="K19" s="14">
        <f t="shared" si="3"/>
        <v>0.41000000000002146</v>
      </c>
      <c r="L19" s="11"/>
      <c r="M19" s="16"/>
      <c r="N19" s="12"/>
      <c r="O19" s="12"/>
      <c r="P19" s="12"/>
      <c r="Q19" s="17"/>
    </row>
    <row r="20" spans="1:17">
      <c r="A20" s="5">
        <v>3.25</v>
      </c>
      <c r="B20">
        <v>3.2501000000000002</v>
      </c>
      <c r="C20" s="14">
        <f t="shared" si="0"/>
        <v>0.10000000000021103</v>
      </c>
      <c r="D20">
        <v>3.2499600000000002</v>
      </c>
      <c r="E20" s="14">
        <f t="shared" si="1"/>
        <v>-3.9999999999817959E-2</v>
      </c>
      <c r="G20" s="5">
        <v>3.25</v>
      </c>
      <c r="H20">
        <v>3.2498999999999998</v>
      </c>
      <c r="I20" s="14">
        <f t="shared" si="2"/>
        <v>-0.10000000000021103</v>
      </c>
      <c r="J20">
        <v>3.2501199999999999</v>
      </c>
      <c r="K20" s="14">
        <f t="shared" si="3"/>
        <v>0.11999999999989797</v>
      </c>
      <c r="L20" s="11"/>
      <c r="M20" s="16"/>
      <c r="N20" s="12"/>
      <c r="O20" s="12"/>
      <c r="P20" s="12"/>
      <c r="Q20" s="17"/>
    </row>
    <row r="21" spans="1:17">
      <c r="A21" s="5">
        <v>3</v>
      </c>
      <c r="B21">
        <v>3.0002</v>
      </c>
      <c r="C21" s="14">
        <f t="shared" si="0"/>
        <v>0.19999999999997797</v>
      </c>
      <c r="D21">
        <v>3.00013</v>
      </c>
      <c r="E21" s="14">
        <f t="shared" si="1"/>
        <v>0.12999999999996348</v>
      </c>
      <c r="G21" s="5">
        <v>3</v>
      </c>
      <c r="H21">
        <v>3</v>
      </c>
      <c r="I21" s="14">
        <f t="shared" si="2"/>
        <v>0</v>
      </c>
      <c r="J21">
        <v>3.0001600000000002</v>
      </c>
      <c r="K21" s="14">
        <f t="shared" si="3"/>
        <v>0.16000000000016001</v>
      </c>
      <c r="L21" s="11"/>
      <c r="M21" s="16"/>
      <c r="N21" s="12"/>
      <c r="O21" s="12"/>
      <c r="P21" s="12"/>
      <c r="Q21" s="17"/>
    </row>
    <row r="22" spans="1:17">
      <c r="A22" s="5">
        <v>2</v>
      </c>
      <c r="B22">
        <v>1.9999</v>
      </c>
      <c r="C22" s="14">
        <f t="shared" si="0"/>
        <v>-9.9999999999988987E-2</v>
      </c>
      <c r="D22">
        <v>2.0000800000000001</v>
      </c>
      <c r="E22" s="14">
        <f t="shared" si="1"/>
        <v>8.0000000000080007E-2</v>
      </c>
      <c r="G22" s="5">
        <v>2</v>
      </c>
      <c r="H22">
        <v>1.9997</v>
      </c>
      <c r="I22" s="14">
        <f t="shared" si="2"/>
        <v>-0.29999999999996696</v>
      </c>
      <c r="J22">
        <v>1.9996700000000001</v>
      </c>
      <c r="K22" s="14">
        <f t="shared" si="3"/>
        <v>-0.32999999999994145</v>
      </c>
      <c r="L22" s="11"/>
      <c r="M22" s="16"/>
      <c r="N22" s="12"/>
      <c r="O22" s="12"/>
      <c r="P22" s="12"/>
      <c r="Q22" s="17"/>
    </row>
    <row r="23" spans="1:17">
      <c r="A23" s="5">
        <v>1</v>
      </c>
      <c r="B23">
        <v>0.99999000000000005</v>
      </c>
      <c r="C23" s="14">
        <f t="shared" si="0"/>
        <v>-9.9999999999544897E-3</v>
      </c>
      <c r="D23">
        <v>1.0004299999999999</v>
      </c>
      <c r="E23" s="14">
        <f t="shared" si="1"/>
        <v>0.42999999999993044</v>
      </c>
      <c r="G23" s="5">
        <v>1</v>
      </c>
      <c r="H23">
        <v>0.99985999999999997</v>
      </c>
      <c r="I23" s="14">
        <f t="shared" si="2"/>
        <v>-0.14000000000002899</v>
      </c>
      <c r="J23">
        <v>0.99958499999999995</v>
      </c>
      <c r="K23" s="14">
        <f t="shared" si="3"/>
        <v>-0.41500000000005421</v>
      </c>
      <c r="L23" s="11"/>
      <c r="M23" s="16"/>
      <c r="N23" s="12"/>
      <c r="O23" s="12"/>
      <c r="P23" s="12"/>
      <c r="Q23" s="17"/>
    </row>
    <row r="24" spans="1:17">
      <c r="A24" s="5">
        <v>0.75</v>
      </c>
      <c r="B24">
        <v>0.75021000000000004</v>
      </c>
      <c r="C24" s="14">
        <f t="shared" si="0"/>
        <v>0.21000000000004349</v>
      </c>
      <c r="D24">
        <v>0.75070000000000003</v>
      </c>
      <c r="E24" s="14">
        <f t="shared" si="1"/>
        <v>0.70000000000003393</v>
      </c>
      <c r="G24" s="5">
        <v>0.75</v>
      </c>
      <c r="H24">
        <v>0.75005999999999995</v>
      </c>
      <c r="I24" s="14">
        <f t="shared" si="2"/>
        <v>5.9999999999948983E-2</v>
      </c>
      <c r="J24">
        <v>0.74974300000000005</v>
      </c>
      <c r="K24" s="14">
        <f t="shared" si="3"/>
        <v>-0.25699999999995171</v>
      </c>
      <c r="L24" s="11"/>
      <c r="M24" s="16"/>
      <c r="N24" s="12"/>
      <c r="O24" s="12"/>
      <c r="P24" s="12"/>
      <c r="Q24" s="17"/>
    </row>
    <row r="25" spans="1:17">
      <c r="A25" s="5">
        <v>0.5</v>
      </c>
      <c r="B25">
        <v>0.50004999999999999</v>
      </c>
      <c r="C25" s="14">
        <f t="shared" si="0"/>
        <v>4.9999999999994493E-2</v>
      </c>
      <c r="D25">
        <v>0.50059900000000002</v>
      </c>
      <c r="E25" s="14">
        <f t="shared" si="1"/>
        <v>0.59900000000001619</v>
      </c>
      <c r="G25" s="5">
        <v>0.5</v>
      </c>
      <c r="H25">
        <v>0.49991000000000002</v>
      </c>
      <c r="I25" s="14">
        <f t="shared" si="2"/>
        <v>-8.9999999999978986E-2</v>
      </c>
      <c r="J25">
        <v>0.49953500000000001</v>
      </c>
      <c r="K25" s="14">
        <f t="shared" si="3"/>
        <v>-0.4649999999999932</v>
      </c>
      <c r="L25" s="11"/>
      <c r="M25" s="16"/>
      <c r="N25" s="12"/>
      <c r="O25" s="12"/>
      <c r="P25" s="12"/>
      <c r="Q25" s="17"/>
    </row>
    <row r="26" spans="1:17">
      <c r="A26" s="5">
        <v>0.25</v>
      </c>
      <c r="B26">
        <v>0.25026999999999999</v>
      </c>
      <c r="C26" s="14">
        <f t="shared" si="0"/>
        <v>0.26999999999999247</v>
      </c>
      <c r="D26">
        <v>0.25088500000000002</v>
      </c>
      <c r="E26" s="14">
        <f t="shared" si="1"/>
        <v>0.88500000000002466</v>
      </c>
      <c r="G26" s="5">
        <v>0.25</v>
      </c>
      <c r="H26">
        <v>0.25013999999999997</v>
      </c>
      <c r="I26" s="14">
        <f t="shared" si="2"/>
        <v>0.13999999999997348</v>
      </c>
      <c r="J26">
        <v>0.24970999999999999</v>
      </c>
      <c r="K26" s="14">
        <f t="shared" si="3"/>
        <v>-0.29000000000001247</v>
      </c>
      <c r="L26" s="11"/>
      <c r="M26" s="16"/>
      <c r="N26" s="12"/>
      <c r="O26" s="12"/>
      <c r="P26" s="12"/>
      <c r="Q26" s="17"/>
    </row>
    <row r="27" spans="1:17">
      <c r="A27" s="5">
        <v>0.1</v>
      </c>
      <c r="B27">
        <v>0.100185</v>
      </c>
      <c r="C27" s="14">
        <f t="shared" si="0"/>
        <v>0.18499999999999073</v>
      </c>
      <c r="D27">
        <v>0.10083</v>
      </c>
      <c r="E27" s="14">
        <f t="shared" si="1"/>
        <v>0.82999999999999741</v>
      </c>
      <c r="G27" s="5">
        <v>0.1</v>
      </c>
      <c r="H27">
        <v>0.10004300000000001</v>
      </c>
      <c r="I27" s="14">
        <f t="shared" si="2"/>
        <v>4.300000000000137E-2</v>
      </c>
      <c r="J27">
        <v>9.9587999999999996E-2</v>
      </c>
      <c r="K27" s="14">
        <f t="shared" si="3"/>
        <v>-0.41200000000000958</v>
      </c>
      <c r="L27" s="11"/>
      <c r="M27" s="16"/>
      <c r="N27" s="12"/>
      <c r="O27" s="12"/>
      <c r="P27" s="12"/>
      <c r="Q27" s="17"/>
    </row>
    <row r="28" spans="1:17">
      <c r="A28" s="5">
        <v>0.05</v>
      </c>
      <c r="B28">
        <v>5.0153999999999997E-2</v>
      </c>
      <c r="C28" s="14">
        <f t="shared" si="0"/>
        <v>0.15399999999999442</v>
      </c>
      <c r="D28">
        <v>5.0806999999999998E-2</v>
      </c>
      <c r="E28" s="14">
        <f t="shared" si="1"/>
        <v>0.80699999999999528</v>
      </c>
      <c r="G28" s="5">
        <v>0.05</v>
      </c>
      <c r="H28">
        <v>5.0012000000000001E-2</v>
      </c>
      <c r="I28" s="14">
        <f t="shared" si="2"/>
        <v>1.1999999999998123E-2</v>
      </c>
      <c r="J28">
        <v>4.9549999999999997E-2</v>
      </c>
      <c r="K28" s="14">
        <f t="shared" si="3"/>
        <v>-0.45000000000000595</v>
      </c>
      <c r="L28" s="11"/>
      <c r="M28" s="16"/>
      <c r="N28" s="12"/>
      <c r="O28" s="12"/>
      <c r="P28" s="12"/>
      <c r="Q28" s="17"/>
    </row>
    <row r="29" spans="1:17">
      <c r="A29" s="5">
        <v>0.02</v>
      </c>
      <c r="B29">
        <v>2.0286999999999999E-2</v>
      </c>
      <c r="C29" s="14">
        <f t="shared" si="0"/>
        <v>0.28699999999999903</v>
      </c>
      <c r="D29">
        <v>2.0941000000000001E-2</v>
      </c>
      <c r="E29" s="14">
        <f t="shared" si="1"/>
        <v>0.94100000000000084</v>
      </c>
      <c r="G29" s="5">
        <v>0.02</v>
      </c>
      <c r="H29">
        <v>2.0140000000000002E-2</v>
      </c>
      <c r="I29" s="14">
        <f t="shared" si="2"/>
        <v>0.14000000000000123</v>
      </c>
      <c r="J29">
        <v>1.968E-2</v>
      </c>
      <c r="K29" s="14">
        <f t="shared" si="3"/>
        <v>-0.32000000000000084</v>
      </c>
      <c r="L29" s="11"/>
      <c r="M29" s="16"/>
      <c r="N29" s="12"/>
      <c r="O29" s="12"/>
      <c r="P29" s="12"/>
      <c r="Q29" s="17"/>
    </row>
    <row r="30" spans="1:17">
      <c r="A30" s="5">
        <v>0.01</v>
      </c>
      <c r="B30">
        <v>1.0201999999999999E-2</v>
      </c>
      <c r="C30" s="14">
        <f t="shared" si="0"/>
        <v>0.20199999999999907</v>
      </c>
      <c r="D30">
        <v>1.0854000000000001E-2</v>
      </c>
      <c r="E30" s="14">
        <f t="shared" si="1"/>
        <v>0.85400000000000054</v>
      </c>
      <c r="G30" s="5">
        <v>0.01</v>
      </c>
      <c r="H30">
        <v>1.0061E-2</v>
      </c>
      <c r="I30" s="14">
        <f t="shared" si="2"/>
        <v>6.100000000000029E-2</v>
      </c>
      <c r="J30">
        <v>9.6100000000000005E-3</v>
      </c>
      <c r="K30" s="14">
        <f t="shared" si="3"/>
        <v>-0.38999999999999974</v>
      </c>
      <c r="L30" s="11"/>
      <c r="M30" s="16"/>
      <c r="N30" s="12"/>
      <c r="O30" s="12"/>
      <c r="P30" s="12"/>
      <c r="Q30" s="17"/>
    </row>
    <row r="31" spans="1:17">
      <c r="A31" s="7">
        <v>0</v>
      </c>
      <c r="B31" s="8">
        <v>5.0000000000000001E-4</v>
      </c>
      <c r="C31" s="21">
        <f t="shared" si="0"/>
        <v>0.5</v>
      </c>
      <c r="D31" s="8">
        <v>1.14E-3</v>
      </c>
      <c r="E31" s="21">
        <f t="shared" si="1"/>
        <v>1.1399999999999999</v>
      </c>
      <c r="G31" s="7">
        <v>0</v>
      </c>
      <c r="H31" s="8">
        <v>3.5500000000000001E-4</v>
      </c>
      <c r="I31" s="21">
        <f t="shared" si="2"/>
        <v>0.35499999999999998</v>
      </c>
      <c r="J31" s="8">
        <v>-1.4999999999999999E-4</v>
      </c>
      <c r="K31" s="21">
        <f t="shared" si="3"/>
        <v>-0.15</v>
      </c>
      <c r="L31" s="11"/>
      <c r="M31" s="16"/>
      <c r="N31" s="12"/>
      <c r="O31" s="12"/>
      <c r="P31" s="12"/>
      <c r="Q31" s="17"/>
    </row>
    <row r="32" spans="1:17">
      <c r="A32" s="5">
        <v>-0.01</v>
      </c>
      <c r="B32">
        <v>-1.0045E-2</v>
      </c>
      <c r="C32" s="14">
        <f t="shared" si="0"/>
        <v>-4.4999999999999901E-2</v>
      </c>
      <c r="D32" s="12">
        <v>-9.3749999999999997E-3</v>
      </c>
      <c r="E32" s="14">
        <f t="shared" si="1"/>
        <v>0.62500000000000056</v>
      </c>
      <c r="G32" s="5">
        <v>-0.01</v>
      </c>
      <c r="H32">
        <v>-1.0185E-2</v>
      </c>
      <c r="I32" s="14">
        <f t="shared" si="2"/>
        <v>-0.18499999999999939</v>
      </c>
      <c r="J32" s="12">
        <v>-1.0704999999999999E-2</v>
      </c>
      <c r="K32" s="14">
        <f t="shared" si="3"/>
        <v>-0.70499999999999907</v>
      </c>
      <c r="L32" s="11"/>
      <c r="M32" s="16"/>
      <c r="N32" s="12"/>
      <c r="O32" s="12"/>
      <c r="P32" s="12"/>
      <c r="Q32" s="17"/>
    </row>
    <row r="33" spans="1:17">
      <c r="A33" s="5">
        <v>-0.02</v>
      </c>
      <c r="B33">
        <v>-2.0125000000000001E-2</v>
      </c>
      <c r="C33" s="14">
        <f t="shared" si="0"/>
        <v>-0.12500000000000011</v>
      </c>
      <c r="D33" s="12">
        <v>-1.9449000000000001E-2</v>
      </c>
      <c r="E33" s="14">
        <f t="shared" si="1"/>
        <v>0.55099999999999938</v>
      </c>
      <c r="G33" s="5">
        <v>-0.02</v>
      </c>
      <c r="H33">
        <v>-2.0265999999999999E-2</v>
      </c>
      <c r="I33" s="14">
        <f t="shared" si="2"/>
        <v>-0.2659999999999989</v>
      </c>
      <c r="J33" s="12">
        <v>-2.077E-2</v>
      </c>
      <c r="K33" s="14">
        <f t="shared" si="3"/>
        <v>-0.7699999999999998</v>
      </c>
      <c r="L33" s="11"/>
      <c r="M33" s="16"/>
      <c r="N33" s="12"/>
      <c r="O33" s="12"/>
      <c r="P33" s="12"/>
      <c r="Q33" s="17"/>
    </row>
    <row r="34" spans="1:17">
      <c r="A34" s="5">
        <v>-0.05</v>
      </c>
      <c r="B34">
        <v>-4.9994999999999998E-2</v>
      </c>
      <c r="C34" s="14">
        <f t="shared" si="0"/>
        <v>5.0000000000050004E-3</v>
      </c>
      <c r="D34" s="12">
        <v>-4.9317E-2</v>
      </c>
      <c r="E34" s="14">
        <f t="shared" si="1"/>
        <v>0.68300000000000305</v>
      </c>
      <c r="G34" s="5">
        <v>-0.05</v>
      </c>
      <c r="H34">
        <v>-5.0138000000000002E-2</v>
      </c>
      <c r="I34" s="14">
        <f t="shared" si="2"/>
        <v>-0.13799999999999923</v>
      </c>
      <c r="J34" s="12">
        <v>-5.0645999999999997E-2</v>
      </c>
      <c r="K34" s="14">
        <f t="shared" si="3"/>
        <v>-0.6459999999999938</v>
      </c>
      <c r="L34" s="11"/>
      <c r="M34" s="16"/>
      <c r="N34" s="12"/>
      <c r="O34" s="12"/>
      <c r="P34" s="12"/>
      <c r="Q34" s="17"/>
    </row>
    <row r="35" spans="1:17">
      <c r="A35" s="5">
        <v>-0.1</v>
      </c>
      <c r="B35">
        <v>-0.10002800000000001</v>
      </c>
      <c r="C35" s="14">
        <f t="shared" si="0"/>
        <v>-2.8000000000000247E-2</v>
      </c>
      <c r="D35" s="12">
        <v>-9.9340999999999999E-2</v>
      </c>
      <c r="E35" s="14">
        <f t="shared" si="1"/>
        <v>0.6590000000000068</v>
      </c>
      <c r="G35" s="5">
        <v>-0.1</v>
      </c>
      <c r="H35">
        <v>-0.10017</v>
      </c>
      <c r="I35" s="14">
        <f t="shared" si="2"/>
        <v>-0.1699999999999896</v>
      </c>
      <c r="J35" s="12">
        <v>-0.100687</v>
      </c>
      <c r="K35" s="14">
        <f t="shared" si="3"/>
        <v>-0.68699999999999317</v>
      </c>
      <c r="L35" s="11"/>
      <c r="M35" s="16"/>
      <c r="N35" s="12"/>
      <c r="O35" s="12"/>
      <c r="P35" s="12"/>
      <c r="Q35" s="17"/>
    </row>
    <row r="36" spans="1:17">
      <c r="A36" s="5">
        <v>-0.25</v>
      </c>
      <c r="B36">
        <v>-0.25012000000000001</v>
      </c>
      <c r="C36" s="14">
        <f t="shared" si="0"/>
        <v>-0.12000000000000899</v>
      </c>
      <c r="D36" s="12">
        <v>-0.24942</v>
      </c>
      <c r="E36" s="14">
        <f t="shared" si="1"/>
        <v>0.57999999999999718</v>
      </c>
      <c r="G36" s="5">
        <v>-0.25</v>
      </c>
      <c r="H36">
        <v>-0.25025999999999998</v>
      </c>
      <c r="I36" s="14">
        <f t="shared" si="2"/>
        <v>-0.25999999999998247</v>
      </c>
      <c r="J36" s="12">
        <v>-0.25079499999999999</v>
      </c>
      <c r="K36" s="14">
        <f t="shared" si="3"/>
        <v>-0.79499999999999016</v>
      </c>
      <c r="L36" s="11"/>
      <c r="M36" s="16"/>
      <c r="N36" s="12"/>
      <c r="O36" s="12"/>
      <c r="P36" s="12"/>
      <c r="Q36" s="17"/>
    </row>
    <row r="37" spans="1:17">
      <c r="A37" s="5">
        <v>-0.5</v>
      </c>
      <c r="B37">
        <v>-0.49989</v>
      </c>
      <c r="C37" s="14">
        <f t="shared" si="0"/>
        <v>0.10999999999999899</v>
      </c>
      <c r="D37" s="12">
        <v>-0.49918000000000001</v>
      </c>
      <c r="E37" s="14">
        <f t="shared" si="1"/>
        <v>0.81999999999998741</v>
      </c>
      <c r="G37" s="5">
        <v>-0.5</v>
      </c>
      <c r="H37">
        <v>-0.50004000000000004</v>
      </c>
      <c r="I37" s="14">
        <f t="shared" si="2"/>
        <v>-4.0000000000040004E-2</v>
      </c>
      <c r="J37" s="12">
        <v>-0.50059900000000002</v>
      </c>
      <c r="K37" s="14">
        <f t="shared" si="3"/>
        <v>-0.59900000000001619</v>
      </c>
      <c r="L37" s="11"/>
      <c r="M37" s="16"/>
      <c r="N37" s="12"/>
      <c r="O37" s="12"/>
      <c r="P37" s="12"/>
      <c r="Q37" s="17"/>
    </row>
    <row r="38" spans="1:17">
      <c r="A38" s="5">
        <v>-0.75</v>
      </c>
      <c r="B38">
        <v>-0.75004000000000004</v>
      </c>
      <c r="C38" s="14">
        <f t="shared" si="0"/>
        <v>-4.0000000000040004E-2</v>
      </c>
      <c r="D38" s="12">
        <v>-0.74931999999999999</v>
      </c>
      <c r="E38" s="14">
        <f t="shared" si="1"/>
        <v>0.68000000000001393</v>
      </c>
      <c r="G38" s="5">
        <v>-0.75</v>
      </c>
      <c r="H38">
        <v>-0.75019000000000002</v>
      </c>
      <c r="I38" s="14">
        <f t="shared" si="2"/>
        <v>-0.19000000000002348</v>
      </c>
      <c r="J38" s="12">
        <v>-0.75077300000000002</v>
      </c>
      <c r="K38" s="14">
        <f t="shared" si="3"/>
        <v>-0.77300000000002367</v>
      </c>
      <c r="L38" s="11"/>
      <c r="M38" s="16"/>
      <c r="N38" s="12"/>
      <c r="O38" s="12"/>
      <c r="P38" s="12"/>
      <c r="Q38" s="17"/>
    </row>
    <row r="39" spans="1:17">
      <c r="A39" s="5">
        <v>-1</v>
      </c>
      <c r="B39">
        <v>-0.99983999999999995</v>
      </c>
      <c r="C39" s="14">
        <f t="shared" si="0"/>
        <v>0.16000000000004899</v>
      </c>
      <c r="D39" s="12">
        <v>-0.99909999999999999</v>
      </c>
      <c r="E39" s="14">
        <f t="shared" si="1"/>
        <v>0.9000000000000119</v>
      </c>
      <c r="G39" s="5">
        <v>-1</v>
      </c>
      <c r="H39">
        <v>-0.99997999999999998</v>
      </c>
      <c r="I39" s="14">
        <f t="shared" si="2"/>
        <v>2.0000000000020002E-2</v>
      </c>
      <c r="J39" s="12">
        <v>-1.000596</v>
      </c>
      <c r="K39" s="14">
        <f t="shared" si="3"/>
        <v>-0.59600000000004094</v>
      </c>
      <c r="L39" s="11"/>
      <c r="M39" s="16"/>
      <c r="N39" s="12"/>
      <c r="O39" s="12"/>
      <c r="P39" s="12"/>
      <c r="Q39" s="17"/>
    </row>
    <row r="40" spans="1:17">
      <c r="A40" s="5">
        <v>-2</v>
      </c>
      <c r="B40">
        <v>-1.9997</v>
      </c>
      <c r="C40" s="14">
        <f t="shared" si="0"/>
        <v>0.29999999999996696</v>
      </c>
      <c r="D40" s="12">
        <v>-1.9989399999999999</v>
      </c>
      <c r="E40" s="14">
        <f t="shared" si="1"/>
        <v>1.0600000000000609</v>
      </c>
      <c r="G40" s="5">
        <v>-2</v>
      </c>
      <c r="H40">
        <v>-1.9999</v>
      </c>
      <c r="I40" s="14">
        <f t="shared" si="2"/>
        <v>9.9999999999988987E-2</v>
      </c>
      <c r="J40" s="12">
        <v>-2.0005899999999999</v>
      </c>
      <c r="K40" s="14">
        <f t="shared" si="3"/>
        <v>-0.58999999999986841</v>
      </c>
      <c r="L40" s="11"/>
      <c r="M40" s="16"/>
      <c r="N40" s="12"/>
      <c r="O40" s="12"/>
      <c r="P40" s="12"/>
      <c r="Q40" s="17"/>
    </row>
    <row r="41" spans="1:17">
      <c r="A41" s="5">
        <v>-3</v>
      </c>
      <c r="B41">
        <v>-3</v>
      </c>
      <c r="C41" s="14">
        <f t="shared" si="0"/>
        <v>0</v>
      </c>
      <c r="D41" s="12">
        <v>-2.9991699999999999</v>
      </c>
      <c r="E41" s="14">
        <f t="shared" si="1"/>
        <v>0.83000000000010843</v>
      </c>
      <c r="G41" s="5">
        <v>-3</v>
      </c>
      <c r="H41">
        <v>-3.0001000000000002</v>
      </c>
      <c r="I41" s="14">
        <f t="shared" si="2"/>
        <v>-0.10000000000021103</v>
      </c>
      <c r="J41" s="12">
        <v>-3.0009800000000002</v>
      </c>
      <c r="K41" s="14">
        <f t="shared" si="3"/>
        <v>-0.98000000000020293</v>
      </c>
      <c r="L41" s="11"/>
      <c r="M41" s="16"/>
      <c r="N41" s="12"/>
      <c r="O41" s="12"/>
      <c r="P41" s="12"/>
      <c r="Q41" s="17"/>
    </row>
    <row r="42" spans="1:17">
      <c r="A42" s="5">
        <v>-3.25</v>
      </c>
      <c r="B42">
        <v>-3.2498999999999998</v>
      </c>
      <c r="C42" s="14">
        <f t="shared" si="0"/>
        <v>0.10000000000021103</v>
      </c>
      <c r="D42" s="12">
        <v>-3.2490299999999999</v>
      </c>
      <c r="E42" s="14">
        <f t="shared" si="1"/>
        <v>0.97000000000013742</v>
      </c>
      <c r="G42" s="5">
        <v>-3.25</v>
      </c>
      <c r="H42">
        <v>-3.25</v>
      </c>
      <c r="I42" s="14">
        <f t="shared" si="2"/>
        <v>0</v>
      </c>
      <c r="J42" s="12">
        <v>-3.2509100000000002</v>
      </c>
      <c r="K42" s="14">
        <f t="shared" si="3"/>
        <v>-0.91000000000018844</v>
      </c>
      <c r="L42" s="11"/>
      <c r="M42" s="16"/>
      <c r="N42" s="12"/>
      <c r="O42" s="12"/>
      <c r="P42" s="12"/>
      <c r="Q42" s="17"/>
    </row>
    <row r="43" spans="1:17">
      <c r="A43" s="5">
        <v>-3.5</v>
      </c>
      <c r="B43">
        <v>-3.5002</v>
      </c>
      <c r="C43" s="14">
        <f t="shared" si="0"/>
        <v>-0.19999999999997797</v>
      </c>
      <c r="D43" s="12">
        <v>-3.4992800000000002</v>
      </c>
      <c r="E43" s="14">
        <f t="shared" si="1"/>
        <v>0.71999999999983189</v>
      </c>
      <c r="G43" s="5">
        <v>-3.5</v>
      </c>
      <c r="H43">
        <v>-3.5003000000000002</v>
      </c>
      <c r="I43" s="14">
        <f t="shared" si="2"/>
        <v>-0.300000000000189</v>
      </c>
      <c r="J43" s="12">
        <v>-3.5011899999999998</v>
      </c>
      <c r="K43" s="14">
        <f t="shared" si="3"/>
        <v>-1.1899999999998023</v>
      </c>
      <c r="L43" s="11"/>
      <c r="M43" s="16"/>
      <c r="N43" s="12"/>
      <c r="O43" s="12"/>
      <c r="P43" s="12"/>
      <c r="Q43" s="17"/>
    </row>
    <row r="44" spans="1:17">
      <c r="A44" s="5">
        <v>-3.75</v>
      </c>
      <c r="B44" s="9">
        <v>-3.75</v>
      </c>
      <c r="C44" s="14">
        <f t="shared" si="0"/>
        <v>0</v>
      </c>
      <c r="D44" s="12">
        <v>-3.7491400000000001</v>
      </c>
      <c r="E44" s="14">
        <f t="shared" si="1"/>
        <v>0.85999999999986088</v>
      </c>
      <c r="G44" s="5">
        <v>-3.75</v>
      </c>
      <c r="H44" s="9">
        <v>-3.7502</v>
      </c>
      <c r="I44" s="14">
        <f t="shared" si="2"/>
        <v>-0.19999999999997797</v>
      </c>
      <c r="J44" s="12">
        <v>-3.7511000000000001</v>
      </c>
      <c r="K44" s="14">
        <f t="shared" si="3"/>
        <v>-1.1000000000001009</v>
      </c>
      <c r="L44" s="11"/>
      <c r="M44" s="16"/>
      <c r="N44" s="19"/>
      <c r="O44" s="12"/>
      <c r="P44" s="12"/>
      <c r="Q44" s="17"/>
    </row>
    <row r="45" spans="1:17">
      <c r="A45" s="5">
        <v>-4</v>
      </c>
      <c r="B45">
        <v>-3.9998999999999998</v>
      </c>
      <c r="C45" s="14">
        <f t="shared" si="0"/>
        <v>0.10000000000021103</v>
      </c>
      <c r="D45" s="12">
        <v>-3.9990000000000001</v>
      </c>
      <c r="E45" s="14">
        <f t="shared" si="1"/>
        <v>0.99999999999988987</v>
      </c>
      <c r="G45" s="5">
        <v>-4</v>
      </c>
      <c r="H45">
        <v>-4</v>
      </c>
      <c r="I45" s="14">
        <f t="shared" si="2"/>
        <v>0</v>
      </c>
      <c r="J45" s="12">
        <v>-4.0009899999999998</v>
      </c>
      <c r="K45" s="14">
        <f t="shared" si="3"/>
        <v>-0.98999999999982435</v>
      </c>
      <c r="L45" s="11"/>
      <c r="M45" s="16"/>
      <c r="N45" s="12"/>
      <c r="O45" s="12"/>
      <c r="P45" s="12"/>
      <c r="Q45" s="17"/>
    </row>
    <row r="46" spans="1:17">
      <c r="A46" s="5">
        <v>-4.4000000000000004</v>
      </c>
      <c r="B46">
        <v>-4.4009</v>
      </c>
      <c r="C46" s="14">
        <f t="shared" si="0"/>
        <v>-0.89999999999967883</v>
      </c>
      <c r="D46" s="12">
        <v>-4.3999300000000003</v>
      </c>
      <c r="E46" s="14">
        <f t="shared" si="1"/>
        <v>7.0000000000014495E-2</v>
      </c>
      <c r="G46" s="5">
        <v>-4.4000000000000004</v>
      </c>
      <c r="H46">
        <v>-4.4000000000000004</v>
      </c>
      <c r="I46" s="14">
        <f t="shared" si="2"/>
        <v>0</v>
      </c>
      <c r="J46" s="12">
        <v>-4.40097</v>
      </c>
      <c r="K46" s="14">
        <f t="shared" si="3"/>
        <v>-0.96999999999969333</v>
      </c>
      <c r="L46" s="11"/>
      <c r="M46" s="16"/>
      <c r="N46" s="12"/>
      <c r="O46" s="12"/>
      <c r="P46" s="12"/>
      <c r="Q46" s="17"/>
    </row>
    <row r="47" spans="1:17">
      <c r="A47" s="5">
        <v>-4.5</v>
      </c>
      <c r="B47">
        <v>-4.5008999999999997</v>
      </c>
      <c r="C47" s="14">
        <f t="shared" si="0"/>
        <v>-0.89999999999967883</v>
      </c>
      <c r="D47" s="12">
        <v>-4.5000299999999998</v>
      </c>
      <c r="E47" s="14">
        <f t="shared" si="1"/>
        <v>-2.9999999999752447E-2</v>
      </c>
      <c r="G47" s="5">
        <v>-4.5</v>
      </c>
      <c r="H47">
        <v>-4.5000999999999998</v>
      </c>
      <c r="I47" s="14">
        <f t="shared" si="2"/>
        <v>-9.9999999999766942E-2</v>
      </c>
      <c r="J47" s="12">
        <v>-4.5010599999999998</v>
      </c>
      <c r="K47" s="14">
        <f t="shared" si="3"/>
        <v>-1.0599999999998388</v>
      </c>
      <c r="L47" s="11"/>
      <c r="M47" s="16"/>
      <c r="N47" s="12"/>
      <c r="O47" s="12"/>
      <c r="P47" s="12"/>
      <c r="Q47" s="17"/>
    </row>
    <row r="48" spans="1:17">
      <c r="A48" s="5">
        <v>-4.5999999999999996</v>
      </c>
      <c r="B48">
        <v>-4.6010999999999997</v>
      </c>
      <c r="C48" s="14">
        <f t="shared" si="0"/>
        <v>-1.1000000000001009</v>
      </c>
      <c r="D48" s="12">
        <v>-4.6001399999999997</v>
      </c>
      <c r="E48" s="14">
        <f t="shared" si="1"/>
        <v>-0.14000000000002899</v>
      </c>
      <c r="G48" s="5">
        <v>-4.5999999999999996</v>
      </c>
      <c r="H48">
        <v>-4.6002000000000001</v>
      </c>
      <c r="I48" s="14">
        <f t="shared" si="2"/>
        <v>-0.20000000000042206</v>
      </c>
      <c r="J48" s="12">
        <v>-4.6012000000000004</v>
      </c>
      <c r="K48" s="14">
        <f t="shared" si="3"/>
        <v>-1.200000000000756</v>
      </c>
      <c r="L48" s="11"/>
      <c r="M48" s="16"/>
      <c r="N48" s="12"/>
      <c r="O48" s="12"/>
      <c r="P48" s="12"/>
      <c r="Q48" s="17"/>
    </row>
    <row r="49" spans="1:17">
      <c r="A49" s="5">
        <v>-4.75</v>
      </c>
      <c r="B49">
        <v>-4.7511999999999999</v>
      </c>
      <c r="C49" s="14">
        <f t="shared" si="0"/>
        <v>-1.1999999999998678</v>
      </c>
      <c r="D49" s="12">
        <v>-4.7502800000000001</v>
      </c>
      <c r="E49" s="14">
        <f t="shared" si="1"/>
        <v>-0.28000000000005798</v>
      </c>
      <c r="G49" s="5">
        <v>-4.75</v>
      </c>
      <c r="H49">
        <v>-4.7504</v>
      </c>
      <c r="I49" s="14">
        <f t="shared" si="2"/>
        <v>-0.39999999999995595</v>
      </c>
      <c r="J49" s="12">
        <v>-4.7513699999999996</v>
      </c>
      <c r="K49" s="14">
        <f t="shared" si="3"/>
        <v>-1.3699999999996493</v>
      </c>
      <c r="L49" s="11"/>
      <c r="M49" s="16"/>
      <c r="N49" s="12"/>
      <c r="O49" s="12"/>
      <c r="P49" s="12"/>
      <c r="Q49" s="17"/>
    </row>
    <row r="50" spans="1:17">
      <c r="A50" s="5">
        <v>-4.9000000000000004</v>
      </c>
      <c r="B50">
        <v>-4.9009999999999998</v>
      </c>
      <c r="C50" s="14">
        <f t="shared" si="0"/>
        <v>-0.99999999999944578</v>
      </c>
      <c r="D50" s="12">
        <v>-4.9000700000000004</v>
      </c>
      <c r="E50" s="14">
        <f t="shared" si="1"/>
        <v>-7.0000000000014495E-2</v>
      </c>
      <c r="G50" s="5">
        <v>-4.9000000000000004</v>
      </c>
      <c r="H50">
        <v>-4.9001000000000001</v>
      </c>
      <c r="I50" s="14">
        <f t="shared" si="2"/>
        <v>-9.9999999999766942E-2</v>
      </c>
      <c r="J50" s="12">
        <v>-4.9011699999999996</v>
      </c>
      <c r="K50" s="14">
        <f t="shared" si="3"/>
        <v>-1.1699999999992272</v>
      </c>
      <c r="L50" s="11"/>
      <c r="M50" s="16"/>
      <c r="N50" s="12"/>
      <c r="O50" s="12"/>
      <c r="P50" s="12"/>
      <c r="Q50" s="17"/>
    </row>
    <row r="51" spans="1:17">
      <c r="A51" s="5">
        <v>-5</v>
      </c>
      <c r="B51">
        <v>-5.0011000000000001</v>
      </c>
      <c r="C51" s="14">
        <f t="shared" si="0"/>
        <v>-1.1000000000001009</v>
      </c>
      <c r="D51" s="12">
        <v>-4.9790799999999997</v>
      </c>
      <c r="E51" s="14">
        <f t="shared" si="1"/>
        <v>20.920000000000272</v>
      </c>
      <c r="G51" s="5">
        <v>-5</v>
      </c>
      <c r="H51">
        <v>-5.0003000000000002</v>
      </c>
      <c r="I51" s="14">
        <f t="shared" si="2"/>
        <v>-0.300000000000189</v>
      </c>
      <c r="J51" s="12">
        <v>-4.98081</v>
      </c>
      <c r="K51" s="14">
        <f t="shared" si="3"/>
        <v>19.19000000000004</v>
      </c>
      <c r="L51" s="11"/>
      <c r="M51" s="16"/>
      <c r="N51" s="12"/>
      <c r="O51" s="12"/>
      <c r="P51" s="12"/>
      <c r="Q51" s="17"/>
    </row>
    <row r="52" spans="1:17">
      <c r="A52" s="5">
        <v>-5.0999999999999996</v>
      </c>
      <c r="B52">
        <v>-5.1012000000000004</v>
      </c>
      <c r="C52" s="14">
        <f t="shared" si="0"/>
        <v>-1.200000000000756</v>
      </c>
      <c r="D52" s="12">
        <v>-5.04575</v>
      </c>
      <c r="E52" s="14">
        <f t="shared" si="1"/>
        <v>54.249999999999687</v>
      </c>
      <c r="G52" s="5">
        <v>-5.0999999999999996</v>
      </c>
      <c r="H52">
        <v>-5.0998000000000001</v>
      </c>
      <c r="I52" s="14">
        <f t="shared" si="2"/>
        <v>0.19999999999953388</v>
      </c>
      <c r="J52" s="12">
        <v>-5.0479900000000004</v>
      </c>
      <c r="K52" s="14">
        <f t="shared" si="3"/>
        <v>52.009999999999224</v>
      </c>
      <c r="L52" s="11"/>
      <c r="M52" s="16"/>
      <c r="N52" s="12"/>
      <c r="O52" s="12"/>
      <c r="P52" s="12"/>
      <c r="Q52" s="17"/>
    </row>
    <row r="53" spans="1:17">
      <c r="A53" s="5">
        <v>-5.2</v>
      </c>
      <c r="B53">
        <v>-5.1849999999999996</v>
      </c>
      <c r="C53" s="14">
        <f t="shared" si="0"/>
        <v>15.000000000000568</v>
      </c>
      <c r="D53" s="12">
        <v>-5.0983999999999998</v>
      </c>
      <c r="E53" s="14">
        <f t="shared" si="1"/>
        <v>101.60000000000036</v>
      </c>
      <c r="G53" s="5">
        <v>-5.2</v>
      </c>
      <c r="H53">
        <v>-5.1859999999999999</v>
      </c>
      <c r="I53" s="14">
        <f t="shared" si="2"/>
        <v>14.000000000000234</v>
      </c>
      <c r="J53" s="12">
        <v>-5.1036900000000003</v>
      </c>
      <c r="K53" s="14">
        <f t="shared" si="3"/>
        <v>96.309999999999889</v>
      </c>
      <c r="L53" s="11"/>
      <c r="M53" s="16"/>
      <c r="N53" s="12"/>
      <c r="O53" s="12"/>
      <c r="P53" s="12"/>
      <c r="Q53" s="17"/>
    </row>
  </sheetData>
  <mergeCells count="2">
    <mergeCell ref="A7:E7"/>
    <mergeCell ref="G7:K7"/>
  </mergeCells>
  <pageMargins left="0.7" right="0.7" top="0.78740157499999996" bottom="0.78740157499999996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Schule</dc:creator>
  <cp:lastModifiedBy>Simon Schule</cp:lastModifiedBy>
  <dcterms:created xsi:type="dcterms:W3CDTF">2020-08-17T08:00:40Z</dcterms:created>
  <dcterms:modified xsi:type="dcterms:W3CDTF">2020-09-29T11:28:21Z</dcterms:modified>
</cp:coreProperties>
</file>