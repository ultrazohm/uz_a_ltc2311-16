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Bachelorarbeit\"/>
    </mc:Choice>
  </mc:AlternateContent>
  <xr:revisionPtr revIDLastSave="0" documentId="13_ncr:1_{D7B766BD-855E-42BE-A2D4-CBB600AB8FD5}" xr6:coauthVersionLast="45" xr6:coauthVersionMax="45" xr10:uidLastSave="{00000000-0000-0000-0000-000000000000}"/>
  <bookViews>
    <workbookView xWindow="-108" yWindow="-108" windowWidth="23256" windowHeight="12576" xr2:uid="{495E718F-06B1-4643-B7E0-98C6B6E2ABE9}"/>
  </bookViews>
  <sheets>
    <sheet name="Single-ended" sheetId="3" r:id="rId1"/>
    <sheet name="Fully Differenti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3" l="1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9" i="3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9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9" i="4"/>
  <c r="C9" i="4" l="1"/>
  <c r="C10" i="4"/>
  <c r="C52" i="4"/>
  <c r="C53" i="4"/>
  <c r="C9" i="3"/>
  <c r="C10" i="3"/>
  <c r="C53" i="3"/>
  <c r="C52" i="3"/>
  <c r="C51" i="4" l="1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44" i="3" l="1"/>
  <c r="C43" i="3"/>
  <c r="C42" i="3"/>
  <c r="C19" i="3"/>
  <c r="C20" i="3"/>
  <c r="C18" i="3"/>
  <c r="C12" i="3" l="1"/>
  <c r="C13" i="3"/>
  <c r="C14" i="3"/>
  <c r="C15" i="3"/>
  <c r="C16" i="3"/>
  <c r="C17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5" i="3"/>
  <c r="C46" i="3"/>
  <c r="C47" i="3"/>
  <c r="C48" i="3"/>
  <c r="C49" i="3"/>
  <c r="C50" i="3"/>
  <c r="C51" i="3"/>
  <c r="C11" i="3"/>
</calcChain>
</file>

<file path=xl/sharedStrings.xml><?xml version="1.0" encoding="utf-8"?>
<sst xmlns="http://schemas.openxmlformats.org/spreadsheetml/2006/main" count="36" uniqueCount="23">
  <si>
    <t>In_P</t>
  </si>
  <si>
    <t>In_N</t>
  </si>
  <si>
    <t>Vout P to N</t>
  </si>
  <si>
    <t>GND</t>
  </si>
  <si>
    <t>abs deviation</t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</si>
  <si>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</si>
  <si>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t>VCC+</t>
  </si>
  <si>
    <t>VCC-</t>
  </si>
  <si>
    <t>L = 100uH</t>
  </si>
  <si>
    <r>
      <rPr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 measurements vary in 10uV scope</t>
    </r>
  </si>
  <si>
    <t>In P to N</t>
  </si>
  <si>
    <r>
      <t xml:space="preserve">Fully differential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</si>
  <si>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r>
      <t xml:space="preserve">Input: 100Ohm in series 100pF to GND,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</rPr>
      <t xml:space="preserve">5.2V by internal power supply </t>
    </r>
  </si>
  <si>
    <t>-5,203 V</t>
  </si>
  <si>
    <t>+5,196 V</t>
  </si>
  <si>
    <t>2,6V + V_in/2 (referenced to GND)</t>
  </si>
  <si>
    <t>2,6V - V_in/2 (referenced to GND)</t>
  </si>
  <si>
    <t>+5,1965 V</t>
  </si>
  <si>
    <t>y = 0,9991x + 0,0004</t>
  </si>
  <si>
    <r>
      <rPr>
        <b/>
        <sz val="11"/>
        <color theme="1"/>
        <rFont val="Calibri"/>
        <family val="2"/>
        <scheme val="minor"/>
      </rPr>
      <t xml:space="preserve">fitted formula               </t>
    </r>
    <r>
      <rPr>
        <sz val="11"/>
        <color theme="1"/>
        <rFont val="Calibri"/>
        <family val="2"/>
        <scheme val="minor"/>
      </rPr>
      <t>x=(y-0,0004)/0,9991</t>
    </r>
  </si>
  <si>
    <t>rel deviation %</t>
  </si>
  <si>
    <t>y = 0,9988x + 0,0001</t>
  </si>
  <si>
    <r>
      <rPr>
        <b/>
        <sz val="11"/>
        <color theme="1"/>
        <rFont val="Calibri"/>
        <family val="2"/>
        <scheme val="minor"/>
      </rPr>
      <t xml:space="preserve">fitted formula   </t>
    </r>
    <r>
      <rPr>
        <sz val="11"/>
        <color theme="1"/>
        <rFont val="Calibri"/>
        <family val="2"/>
        <scheme val="minor"/>
      </rPr>
      <t xml:space="preserve">            x=(y-0,0001)/0,9988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</si>
</sst>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\ &quot;mV&quot;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2" fontId="0" fillId="0" borderId="2" xfId="0" applyNumberFormat="1" applyFill="1" applyBorder="1"/>
    <xf numFmtId="165" fontId="0" fillId="0" borderId="2" xfId="0" applyNumberFormat="1" applyBorder="1"/>
    <xf numFmtId="0" fontId="0" fillId="0" borderId="0" xfId="0" applyFill="1" applyBorder="1"/>
    <xf numFmtId="0" fontId="0" fillId="0" borderId="1" xfId="0" quotePrefix="1" applyBorder="1"/>
    <xf numFmtId="0" fontId="0" fillId="0" borderId="0" xfId="0" quotePrefix="1"/>
    <xf numFmtId="166" fontId="0" fillId="0" borderId="0" xfId="0" applyNumberFormat="1"/>
    <xf numFmtId="166" fontId="0" fillId="0" borderId="2" xfId="0" applyNumberFormat="1" applyFill="1" applyBorder="1"/>
    <xf numFmtId="0" fontId="0" fillId="0" borderId="0" xfId="0" applyFill="1"/>
    <xf numFmtId="0" fontId="0" fillId="0" borderId="0" xfId="0" applyBorder="1"/>
    <xf numFmtId="0" fontId="5" fillId="0" borderId="0" xfId="0" applyFont="1" applyAlignment="1">
      <alignment horizontal="center" vertical="center" readingOrder="1"/>
    </xf>
    <xf numFmtId="0" fontId="0" fillId="2" borderId="0" xfId="0" applyFill="1" applyAlignment="1">
      <alignment horizontal="center" wrapText="1"/>
    </xf>
    <xf numFmtId="0" fontId="0" fillId="0" borderId="2" xfId="0" applyBorder="1"/>
    <xf numFmtId="0" fontId="0" fillId="2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7117084502368237E-2"/>
                  <c:y val="-2.810050947064487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'Single-ended'!$A$9:$A$53</c:f>
              <c:numCache>
                <c:formatCode>0.00</c:formatCode>
                <c:ptCount val="45"/>
                <c:pt idx="0">
                  <c:v>5.2</c:v>
                </c:pt>
                <c:pt idx="1">
                  <c:v>5.0999999999999996</c:v>
                </c:pt>
                <c:pt idx="2">
                  <c:v>5</c:v>
                </c:pt>
                <c:pt idx="3">
                  <c:v>4.9000000000000004</c:v>
                </c:pt>
                <c:pt idx="4">
                  <c:v>4.75</c:v>
                </c:pt>
                <c:pt idx="5">
                  <c:v>4.5999999999999996</c:v>
                </c:pt>
                <c:pt idx="6">
                  <c:v>4.5</c:v>
                </c:pt>
                <c:pt idx="7">
                  <c:v>4.4000000000000004</c:v>
                </c:pt>
                <c:pt idx="8">
                  <c:v>4</c:v>
                </c:pt>
                <c:pt idx="9">
                  <c:v>3.75</c:v>
                </c:pt>
                <c:pt idx="10">
                  <c:v>3.5</c:v>
                </c:pt>
                <c:pt idx="11">
                  <c:v>3.25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0.75</c:v>
                </c:pt>
                <c:pt idx="16">
                  <c:v>0.5</c:v>
                </c:pt>
                <c:pt idx="17">
                  <c:v>0.25</c:v>
                </c:pt>
                <c:pt idx="18">
                  <c:v>0.1</c:v>
                </c:pt>
                <c:pt idx="19">
                  <c:v>0.05</c:v>
                </c:pt>
                <c:pt idx="20">
                  <c:v>0.02</c:v>
                </c:pt>
                <c:pt idx="21">
                  <c:v>0.01</c:v>
                </c:pt>
                <c:pt idx="22">
                  <c:v>0</c:v>
                </c:pt>
                <c:pt idx="23">
                  <c:v>-0.01</c:v>
                </c:pt>
                <c:pt idx="24">
                  <c:v>-0.02</c:v>
                </c:pt>
                <c:pt idx="25">
                  <c:v>-0.05</c:v>
                </c:pt>
                <c:pt idx="26">
                  <c:v>-0.1</c:v>
                </c:pt>
                <c:pt idx="27">
                  <c:v>-0.25</c:v>
                </c:pt>
                <c:pt idx="28">
                  <c:v>-0.5</c:v>
                </c:pt>
                <c:pt idx="29">
                  <c:v>-0.75</c:v>
                </c:pt>
                <c:pt idx="30">
                  <c:v>-1</c:v>
                </c:pt>
                <c:pt idx="31">
                  <c:v>-2</c:v>
                </c:pt>
                <c:pt idx="32">
                  <c:v>-3</c:v>
                </c:pt>
                <c:pt idx="33">
                  <c:v>-3.25</c:v>
                </c:pt>
                <c:pt idx="34">
                  <c:v>-3.5</c:v>
                </c:pt>
                <c:pt idx="35">
                  <c:v>-3.75</c:v>
                </c:pt>
                <c:pt idx="36">
                  <c:v>-4</c:v>
                </c:pt>
                <c:pt idx="37">
                  <c:v>-4.4000000000000004</c:v>
                </c:pt>
                <c:pt idx="38">
                  <c:v>-4.5</c:v>
                </c:pt>
                <c:pt idx="39">
                  <c:v>-4.5999999999999996</c:v>
                </c:pt>
                <c:pt idx="40">
                  <c:v>-4.75</c:v>
                </c:pt>
                <c:pt idx="41">
                  <c:v>-4.9000000000000004</c:v>
                </c:pt>
                <c:pt idx="42">
                  <c:v>-5</c:v>
                </c:pt>
                <c:pt idx="43">
                  <c:v>-5.0999999999999996</c:v>
                </c:pt>
                <c:pt idx="44">
                  <c:v>-5.2</c:v>
                </c:pt>
              </c:numCache>
            </c:numRef>
          </c:xVal>
          <c:yVal>
            <c:numRef>
              <c:f>'Single-ended'!$B$9:$B$53</c:f>
              <c:numCache>
                <c:formatCode>General</c:formatCode>
                <c:ptCount val="45"/>
                <c:pt idx="0">
                  <c:v>5.1421400000000004</c:v>
                </c:pt>
                <c:pt idx="1">
                  <c:v>5.1009700000000002</c:v>
                </c:pt>
                <c:pt idx="2" formatCode="0.0000">
                  <c:v>5.0011200000000002</c:v>
                </c:pt>
                <c:pt idx="3" formatCode="0.0000">
                  <c:v>4.9009999999999998</c:v>
                </c:pt>
                <c:pt idx="4" formatCode="0.0000">
                  <c:v>4.7511999999999999</c:v>
                </c:pt>
                <c:pt idx="5" formatCode="0.0000">
                  <c:v>4.60107</c:v>
                </c:pt>
                <c:pt idx="6" formatCode="0.0000">
                  <c:v>4.5009499999999996</c:v>
                </c:pt>
                <c:pt idx="7" formatCode="0.0000">
                  <c:v>4.4008700000000003</c:v>
                </c:pt>
                <c:pt idx="8" formatCode="0.0000">
                  <c:v>3.9998800000000001</c:v>
                </c:pt>
                <c:pt idx="9" formatCode="0.0000">
                  <c:v>3.74993</c:v>
                </c:pt>
                <c:pt idx="10" formatCode="0.0000">
                  <c:v>3.5000200000000001</c:v>
                </c:pt>
                <c:pt idx="11" formatCode="0.0000">
                  <c:v>3.2498</c:v>
                </c:pt>
                <c:pt idx="12" formatCode="0.0000">
                  <c:v>2.9998999999999998</c:v>
                </c:pt>
                <c:pt idx="13" formatCode="0.0000">
                  <c:v>1.9996</c:v>
                </c:pt>
                <c:pt idx="14" formatCode="0.0000">
                  <c:v>0.99965000000000004</c:v>
                </c:pt>
                <c:pt idx="15" formatCode="0.0000">
                  <c:v>0.74983999999999995</c:v>
                </c:pt>
                <c:pt idx="16" formatCode="0.0000">
                  <c:v>0.49967</c:v>
                </c:pt>
                <c:pt idx="17" formatCode="0.0000">
                  <c:v>0.24990000000000001</c:v>
                </c:pt>
                <c:pt idx="18" formatCode="0.0000">
                  <c:v>9.98E-2</c:v>
                </c:pt>
                <c:pt idx="19" formatCode="0.0000">
                  <c:v>4.9799999999999997E-2</c:v>
                </c:pt>
                <c:pt idx="20" formatCode="0.0000">
                  <c:v>1.9900000000000001E-2</c:v>
                </c:pt>
                <c:pt idx="21" formatCode="0.0000">
                  <c:v>9.9000000000000008E-3</c:v>
                </c:pt>
                <c:pt idx="22" formatCode="0.0000">
                  <c:v>1.8000000000000001E-4</c:v>
                </c:pt>
                <c:pt idx="23" formatCode="0.0000">
                  <c:v>-1.038E-2</c:v>
                </c:pt>
                <c:pt idx="24" formatCode="0.0000">
                  <c:v>-2.0459999999999999E-2</c:v>
                </c:pt>
                <c:pt idx="25" formatCode="0.0000">
                  <c:v>-5.0340000000000003E-2</c:v>
                </c:pt>
                <c:pt idx="26" formatCode="0.0000">
                  <c:v>-0.10038</c:v>
                </c:pt>
                <c:pt idx="27" formatCode="0.0000">
                  <c:v>-0.25047000000000003</c:v>
                </c:pt>
                <c:pt idx="28" formatCode="0.0000">
                  <c:v>-0.50024000000000002</c:v>
                </c:pt>
                <c:pt idx="29" formatCode="0.0000">
                  <c:v>-0.75039999999999996</c:v>
                </c:pt>
                <c:pt idx="30" formatCode="0.0000">
                  <c:v>-1.0001899999999999</c:v>
                </c:pt>
                <c:pt idx="31" formatCode="0.0000">
                  <c:v>-2.0001000000000002</c:v>
                </c:pt>
                <c:pt idx="32" formatCode="0.0000">
                  <c:v>-3.0004</c:v>
                </c:pt>
                <c:pt idx="33" formatCode="0.0000">
                  <c:v>-3.2503000000000002</c:v>
                </c:pt>
                <c:pt idx="34" formatCode="0.0000">
                  <c:v>-3.5005999999999999</c:v>
                </c:pt>
                <c:pt idx="35" formatCode="0.0000">
                  <c:v>-3.7504599999999999</c:v>
                </c:pt>
                <c:pt idx="36" formatCode="0.0000">
                  <c:v>-4.0003000000000002</c:v>
                </c:pt>
                <c:pt idx="37" formatCode="0.0000">
                  <c:v>-4.3997000000000002</c:v>
                </c:pt>
                <c:pt idx="38" formatCode="0.0000">
                  <c:v>-4.4997999999999996</c:v>
                </c:pt>
                <c:pt idx="39" formatCode="0.0000">
                  <c:v>-4.59992</c:v>
                </c:pt>
                <c:pt idx="40" formatCode="0.0000">
                  <c:v>-4.75007</c:v>
                </c:pt>
                <c:pt idx="41" formatCode="0.0000">
                  <c:v>-4.8998499999999998</c:v>
                </c:pt>
                <c:pt idx="42" formatCode="0.0000">
                  <c:v>-4.9999599999999997</c:v>
                </c:pt>
                <c:pt idx="43" formatCode="0.0000">
                  <c:v>-5.0983000000000001</c:v>
                </c:pt>
                <c:pt idx="44" formatCode="0.0000">
                  <c:v>-5.1386000000000003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5A-4AC7-A22B-8D408272F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985872"/>
        <c:axId val="232986856"/>
      </c:scatterChart>
      <c:valAx>
        <c:axId val="23298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2986856"/>
        <c:crosses val="autoZero"/>
        <c:crossBetween val="midCat"/>
      </c:valAx>
      <c:valAx>
        <c:axId val="23298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298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6248226396375647E-2"/>
                  <c:y val="-1.44878797734678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'Fully Differential'!$A$9:$A$53</c:f>
              <c:numCache>
                <c:formatCode>0.00</c:formatCode>
                <c:ptCount val="45"/>
                <c:pt idx="0">
                  <c:v>5.2</c:v>
                </c:pt>
                <c:pt idx="1">
                  <c:v>5.0999999999999996</c:v>
                </c:pt>
                <c:pt idx="2">
                  <c:v>5</c:v>
                </c:pt>
                <c:pt idx="3">
                  <c:v>4.9000000000000004</c:v>
                </c:pt>
                <c:pt idx="4">
                  <c:v>4.75</c:v>
                </c:pt>
                <c:pt idx="5">
                  <c:v>4.5999999999999996</c:v>
                </c:pt>
                <c:pt idx="6">
                  <c:v>4.5</c:v>
                </c:pt>
                <c:pt idx="7">
                  <c:v>4.4000000000000004</c:v>
                </c:pt>
                <c:pt idx="8">
                  <c:v>4</c:v>
                </c:pt>
                <c:pt idx="9">
                  <c:v>3.75</c:v>
                </c:pt>
                <c:pt idx="10">
                  <c:v>3.5</c:v>
                </c:pt>
                <c:pt idx="11">
                  <c:v>3.25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0.75</c:v>
                </c:pt>
                <c:pt idx="16">
                  <c:v>0.5</c:v>
                </c:pt>
                <c:pt idx="17">
                  <c:v>0.25</c:v>
                </c:pt>
                <c:pt idx="18">
                  <c:v>0.1</c:v>
                </c:pt>
                <c:pt idx="19">
                  <c:v>0.05</c:v>
                </c:pt>
                <c:pt idx="20">
                  <c:v>0.02</c:v>
                </c:pt>
                <c:pt idx="21">
                  <c:v>0.01</c:v>
                </c:pt>
                <c:pt idx="22">
                  <c:v>0</c:v>
                </c:pt>
                <c:pt idx="23">
                  <c:v>-0.01</c:v>
                </c:pt>
                <c:pt idx="24">
                  <c:v>-0.02</c:v>
                </c:pt>
                <c:pt idx="25">
                  <c:v>-0.05</c:v>
                </c:pt>
                <c:pt idx="26">
                  <c:v>-0.1</c:v>
                </c:pt>
                <c:pt idx="27">
                  <c:v>-0.25</c:v>
                </c:pt>
                <c:pt idx="28">
                  <c:v>-0.5</c:v>
                </c:pt>
                <c:pt idx="29">
                  <c:v>-0.75</c:v>
                </c:pt>
                <c:pt idx="30">
                  <c:v>-1</c:v>
                </c:pt>
                <c:pt idx="31">
                  <c:v>-2</c:v>
                </c:pt>
                <c:pt idx="32">
                  <c:v>-3</c:v>
                </c:pt>
                <c:pt idx="33">
                  <c:v>-3.25</c:v>
                </c:pt>
                <c:pt idx="34">
                  <c:v>-3.5</c:v>
                </c:pt>
                <c:pt idx="35">
                  <c:v>-3.75</c:v>
                </c:pt>
                <c:pt idx="36">
                  <c:v>-4</c:v>
                </c:pt>
                <c:pt idx="37">
                  <c:v>-4.4000000000000004</c:v>
                </c:pt>
                <c:pt idx="38">
                  <c:v>-4.5</c:v>
                </c:pt>
                <c:pt idx="39">
                  <c:v>-4.5999999999999996</c:v>
                </c:pt>
                <c:pt idx="40">
                  <c:v>-4.75</c:v>
                </c:pt>
                <c:pt idx="41">
                  <c:v>-4.9000000000000004</c:v>
                </c:pt>
                <c:pt idx="42">
                  <c:v>-5</c:v>
                </c:pt>
                <c:pt idx="43">
                  <c:v>-5.0999999999999996</c:v>
                </c:pt>
                <c:pt idx="44">
                  <c:v>-5.2</c:v>
                </c:pt>
              </c:numCache>
            </c:numRef>
          </c:xVal>
          <c:yVal>
            <c:numRef>
              <c:f>'Fully Differential'!$B$9:$B$53</c:f>
              <c:numCache>
                <c:formatCode>General</c:formatCode>
                <c:ptCount val="45"/>
                <c:pt idx="0">
                  <c:v>5.1422999999999996</c:v>
                </c:pt>
                <c:pt idx="1">
                  <c:v>5.1013400000000004</c:v>
                </c:pt>
                <c:pt idx="2" formatCode="0.0000">
                  <c:v>5.0019200000000001</c:v>
                </c:pt>
                <c:pt idx="3" formatCode="0.0000">
                  <c:v>4.9017499999999998</c:v>
                </c:pt>
                <c:pt idx="4" formatCode="0.0000">
                  <c:v>4.7514599999999998</c:v>
                </c:pt>
                <c:pt idx="5" formatCode="0.0000">
                  <c:v>4.6011499999999996</c:v>
                </c:pt>
                <c:pt idx="6" formatCode="0.0000">
                  <c:v>4.5025500000000003</c:v>
                </c:pt>
                <c:pt idx="7" formatCode="0.0000">
                  <c:v>4.4023599999999998</c:v>
                </c:pt>
                <c:pt idx="8" formatCode="0.0000">
                  <c:v>4.0019799999999996</c:v>
                </c:pt>
                <c:pt idx="9" formatCode="0.0000">
                  <c:v>3.7514799999999999</c:v>
                </c:pt>
                <c:pt idx="10" formatCode="0.0000">
                  <c:v>3.50136</c:v>
                </c:pt>
                <c:pt idx="11" formatCode="0.0000">
                  <c:v>3.2523</c:v>
                </c:pt>
                <c:pt idx="12" formatCode="0.0000">
                  <c:v>3.0012500000000002</c:v>
                </c:pt>
                <c:pt idx="13" formatCode="0.0000">
                  <c:v>2.0009999999999999</c:v>
                </c:pt>
                <c:pt idx="14" formatCode="0.0000">
                  <c:v>0.99990999999999997</c:v>
                </c:pt>
                <c:pt idx="15" formatCode="0.0000">
                  <c:v>0.751</c:v>
                </c:pt>
                <c:pt idx="16" formatCode="0.0000">
                  <c:v>0.50053999999999998</c:v>
                </c:pt>
                <c:pt idx="17" formatCode="0.0000">
                  <c:v>0.25040000000000001</c:v>
                </c:pt>
                <c:pt idx="18" formatCode="0.0000">
                  <c:v>0.10013</c:v>
                </c:pt>
                <c:pt idx="19" formatCode="0.0000">
                  <c:v>5.0040000000000001E-2</c:v>
                </c:pt>
                <c:pt idx="20" formatCode="0.0000">
                  <c:v>2.0979999999999999E-2</c:v>
                </c:pt>
                <c:pt idx="21" formatCode="0.0000">
                  <c:v>9.4999999999999998E-3</c:v>
                </c:pt>
                <c:pt idx="22" formatCode="0.0000">
                  <c:v>5.0000000000000002E-5</c:v>
                </c:pt>
                <c:pt idx="23" formatCode="0.0000">
                  <c:v>-9.58E-3</c:v>
                </c:pt>
                <c:pt idx="24" formatCode="0.0000">
                  <c:v>-1.951E-2</c:v>
                </c:pt>
                <c:pt idx="25" formatCode="0.0000">
                  <c:v>-5.0139999999999997E-2</c:v>
                </c:pt>
                <c:pt idx="26" formatCode="0.0000">
                  <c:v>-0.10025000000000001</c:v>
                </c:pt>
                <c:pt idx="27" formatCode="0.0000">
                  <c:v>-0.24898999999999999</c:v>
                </c:pt>
                <c:pt idx="28" formatCode="0.0000">
                  <c:v>-0.49906</c:v>
                </c:pt>
                <c:pt idx="29" formatCode="0.0000">
                  <c:v>-0.74953999999999998</c:v>
                </c:pt>
                <c:pt idx="30" formatCode="0.0000">
                  <c:v>-1.00003</c:v>
                </c:pt>
                <c:pt idx="31" formatCode="0.0000">
                  <c:v>-2.0001000000000002</c:v>
                </c:pt>
                <c:pt idx="32" formatCode="0.0000">
                  <c:v>-2.9998</c:v>
                </c:pt>
                <c:pt idx="33" formatCode="0.0000">
                  <c:v>-3.2505999999999999</c:v>
                </c:pt>
                <c:pt idx="34" formatCode="0.0000">
                  <c:v>-3.5011999999999999</c:v>
                </c:pt>
                <c:pt idx="35" formatCode="0.0000">
                  <c:v>-3.7512300000000001</c:v>
                </c:pt>
                <c:pt idx="36" formatCode="0.0000">
                  <c:v>-4</c:v>
                </c:pt>
                <c:pt idx="37" formatCode="0.0000">
                  <c:v>-4.4007800000000001</c:v>
                </c:pt>
                <c:pt idx="38" formatCode="0.0000">
                  <c:v>-4.5006000000000004</c:v>
                </c:pt>
                <c:pt idx="39" formatCode="0.0000">
                  <c:v>-4.6007499999999997</c:v>
                </c:pt>
                <c:pt idx="40" formatCode="0.0000">
                  <c:v>-4.7510000000000003</c:v>
                </c:pt>
                <c:pt idx="41" formatCode="0.0000">
                  <c:v>-4.9012799999999999</c:v>
                </c:pt>
                <c:pt idx="42" formatCode="0.0000">
                  <c:v>-5.0014000000000003</c:v>
                </c:pt>
                <c:pt idx="43" formatCode="0.0000">
                  <c:v>-5.0994200000000003</c:v>
                </c:pt>
                <c:pt idx="44" formatCode="0.0000">
                  <c:v>-5.1414799999999996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8-4C1A-917A-2CF0FC5E5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980624"/>
        <c:axId val="232972424"/>
      </c:scatterChart>
      <c:valAx>
        <c:axId val="2329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2972424"/>
        <c:crosses val="autoZero"/>
        <c:crossBetween val="midCat"/>
      </c:valAx>
      <c:valAx>
        <c:axId val="23297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298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180974</xdr:rowOff>
    </xdr:from>
    <xdr:to>
      <xdr:col>18</xdr:col>
      <xdr:colOff>784860</xdr:colOff>
      <xdr:row>42</xdr:row>
      <xdr:rowOff>175260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4606442-999A-498E-B517-9202CAB4E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1058</xdr:rowOff>
    </xdr:from>
    <xdr:to>
      <xdr:col>18</xdr:col>
      <xdr:colOff>781051</xdr:colOff>
      <xdr:row>43</xdr:row>
      <xdr:rowOff>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666EAA9-D25B-4D01-90AB-0C4F948D4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574-8C9B-4754-AD58-B3B86AFA5838}">
  <dimension ref="A1:M53"/>
  <sheetViews>
    <sheetView tabSelected="1" zoomScale="80" zoomScaleNormal="80" workbookViewId="0">
      <selection activeCell="G25" sqref="G25"/>
    </sheetView>
  </sheetViews>
  <sheetFormatPr baseColWidth="10" defaultRowHeight="14.4" x14ac:dyDescent="0.3"/>
  <cols>
    <col min="4" max="4" width="13.77734375" customWidth="1"/>
    <col min="5" max="5" width="20.77734375" customWidth="1"/>
    <col min="6" max="9" width="13.77734375" customWidth="1"/>
  </cols>
  <sheetData>
    <row r="1" spans="1:13" x14ac:dyDescent="0.3">
      <c r="A1" s="5" t="s">
        <v>5</v>
      </c>
      <c r="B1" s="5"/>
      <c r="C1" s="5"/>
      <c r="D1" s="5"/>
      <c r="E1" s="5"/>
      <c r="G1" s="6" t="s">
        <v>6</v>
      </c>
      <c r="H1" s="10" t="s">
        <v>14</v>
      </c>
    </row>
    <row r="2" spans="1:13" x14ac:dyDescent="0.3">
      <c r="A2" s="5" t="s">
        <v>12</v>
      </c>
      <c r="B2" s="5"/>
      <c r="C2" s="5"/>
      <c r="D2" s="5"/>
      <c r="E2" s="5"/>
      <c r="G2" s="6" t="s">
        <v>7</v>
      </c>
      <c r="H2" s="10" t="s">
        <v>13</v>
      </c>
      <c r="I2" s="11" t="s">
        <v>8</v>
      </c>
      <c r="M2" t="s">
        <v>9</v>
      </c>
    </row>
    <row r="4" spans="1:13" x14ac:dyDescent="0.3">
      <c r="A4" s="6" t="s">
        <v>0</v>
      </c>
      <c r="B4" s="6" t="s">
        <v>0</v>
      </c>
    </row>
    <row r="5" spans="1:13" x14ac:dyDescent="0.3">
      <c r="A5" s="6" t="s">
        <v>1</v>
      </c>
      <c r="B5" s="6" t="s">
        <v>3</v>
      </c>
    </row>
    <row r="7" spans="1:13" x14ac:dyDescent="0.3">
      <c r="E7" s="20" t="s">
        <v>21</v>
      </c>
      <c r="F7" s="14"/>
      <c r="G7" s="14"/>
      <c r="H7" s="14"/>
      <c r="I7" s="14"/>
    </row>
    <row r="8" spans="1:13" ht="28.8" x14ac:dyDescent="0.3">
      <c r="A8" s="4" t="s">
        <v>0</v>
      </c>
      <c r="B8" s="4" t="s">
        <v>2</v>
      </c>
      <c r="C8" s="4" t="s">
        <v>4</v>
      </c>
      <c r="D8" s="4"/>
      <c r="E8" s="17" t="s">
        <v>22</v>
      </c>
      <c r="F8" s="4" t="s">
        <v>20</v>
      </c>
    </row>
    <row r="9" spans="1:13" x14ac:dyDescent="0.3">
      <c r="A9" s="1">
        <v>5.2</v>
      </c>
      <c r="B9">
        <v>5.1421400000000004</v>
      </c>
      <c r="C9" s="3">
        <f t="shared" ref="C9:C53" si="0" xml:space="preserve"> PRODUCT(B9-A9, 1000)</f>
        <v>-57.8599999999998</v>
      </c>
      <c r="E9">
        <f>(A9 - 0.0001) / 0.9988</f>
        <v>5.2061473768522228</v>
      </c>
      <c r="F9">
        <f>(A9 - E9) / A9 * 100</f>
        <v>-0.1182187856196666</v>
      </c>
    </row>
    <row r="10" spans="1:13" x14ac:dyDescent="0.3">
      <c r="A10" s="1">
        <v>5.0999999999999996</v>
      </c>
      <c r="B10">
        <v>5.1009700000000002</v>
      </c>
      <c r="C10" s="3">
        <f t="shared" si="0"/>
        <v>0.97000000000058151</v>
      </c>
      <c r="E10">
        <f t="shared" ref="E10:E53" si="1">(A10 - 0.0001) / 0.9988</f>
        <v>5.1060272326792147</v>
      </c>
      <c r="F10">
        <f t="shared" ref="F10:F53" si="2">(A10 - E10) / A10 * 100</f>
        <v>-0.11818103292578454</v>
      </c>
    </row>
    <row r="11" spans="1:13" x14ac:dyDescent="0.3">
      <c r="A11" s="1">
        <v>5</v>
      </c>
      <c r="B11" s="12">
        <v>5.0011200000000002</v>
      </c>
      <c r="C11" s="3">
        <f t="shared" si="0"/>
        <v>1.1200000000002319</v>
      </c>
      <c r="E11">
        <f t="shared" si="1"/>
        <v>5.0059070885062074</v>
      </c>
      <c r="F11">
        <f t="shared" si="2"/>
        <v>-0.11814177012414717</v>
      </c>
    </row>
    <row r="12" spans="1:13" x14ac:dyDescent="0.3">
      <c r="A12" s="1">
        <v>4.9000000000000004</v>
      </c>
      <c r="B12" s="12">
        <v>4.9009999999999998</v>
      </c>
      <c r="C12" s="3">
        <f t="shared" si="0"/>
        <v>0.99999999999944578</v>
      </c>
      <c r="E12">
        <f t="shared" si="1"/>
        <v>4.9057869443332001</v>
      </c>
      <c r="F12">
        <f t="shared" si="2"/>
        <v>-0.11810090475917767</v>
      </c>
    </row>
    <row r="13" spans="1:13" x14ac:dyDescent="0.3">
      <c r="A13" s="1">
        <v>4.75</v>
      </c>
      <c r="B13" s="12">
        <v>4.7511999999999999</v>
      </c>
      <c r="C13" s="3">
        <f t="shared" si="0"/>
        <v>1.1999999999998678</v>
      </c>
      <c r="E13">
        <f t="shared" si="1"/>
        <v>4.7556067280736887</v>
      </c>
      <c r="F13">
        <f t="shared" si="2"/>
        <v>-0.11803638049870888</v>
      </c>
    </row>
    <row r="14" spans="1:13" x14ac:dyDescent="0.3">
      <c r="A14" s="1">
        <v>4.5999999999999996</v>
      </c>
      <c r="B14" s="12">
        <v>4.60107</v>
      </c>
      <c r="C14" s="3">
        <f t="shared" si="0"/>
        <v>1.0700000000003485</v>
      </c>
      <c r="E14">
        <f t="shared" si="1"/>
        <v>4.6054265118141764</v>
      </c>
      <c r="F14">
        <f t="shared" si="2"/>
        <v>-0.11796764813427715</v>
      </c>
    </row>
    <row r="15" spans="1:13" x14ac:dyDescent="0.3">
      <c r="A15" s="1">
        <v>4.5</v>
      </c>
      <c r="B15" s="12">
        <v>4.5009499999999996</v>
      </c>
      <c r="C15" s="3">
        <f t="shared" si="0"/>
        <v>0.94999999999956231</v>
      </c>
      <c r="E15">
        <f t="shared" si="1"/>
        <v>4.50530636764117</v>
      </c>
      <c r="F15">
        <f t="shared" si="2"/>
        <v>-0.11791928091488854</v>
      </c>
    </row>
    <row r="16" spans="1:13" x14ac:dyDescent="0.3">
      <c r="A16" s="1">
        <v>4.4000000000000004</v>
      </c>
      <c r="B16" s="12">
        <v>4.4008700000000003</v>
      </c>
      <c r="C16" s="3">
        <f t="shared" si="0"/>
        <v>0.86999999999992639</v>
      </c>
      <c r="E16">
        <f t="shared" si="1"/>
        <v>4.4051862234681627</v>
      </c>
      <c r="F16">
        <f t="shared" si="2"/>
        <v>-0.11786871518550752</v>
      </c>
    </row>
    <row r="17" spans="1:9" x14ac:dyDescent="0.3">
      <c r="A17" s="1">
        <v>4</v>
      </c>
      <c r="B17" s="12">
        <v>3.9998800000000001</v>
      </c>
      <c r="C17" s="3">
        <f t="shared" si="0"/>
        <v>-0.11999999999989797</v>
      </c>
      <c r="E17">
        <f t="shared" si="1"/>
        <v>4.0047056467761308</v>
      </c>
      <c r="F17">
        <f t="shared" si="2"/>
        <v>-0.11764116940327085</v>
      </c>
    </row>
    <row r="18" spans="1:9" x14ac:dyDescent="0.3">
      <c r="A18" s="1">
        <v>3.75</v>
      </c>
      <c r="B18" s="12">
        <v>3.74993</v>
      </c>
      <c r="C18" s="3">
        <f t="shared" si="0"/>
        <v>-7.0000000000014495E-2</v>
      </c>
      <c r="E18">
        <f t="shared" si="1"/>
        <v>3.7544052863436121</v>
      </c>
      <c r="F18">
        <f t="shared" si="2"/>
        <v>-0.11747430249632392</v>
      </c>
    </row>
    <row r="19" spans="1:9" x14ac:dyDescent="0.3">
      <c r="A19" s="1">
        <v>3.5</v>
      </c>
      <c r="B19" s="12">
        <v>3.5000200000000001</v>
      </c>
      <c r="C19" s="3">
        <f t="shared" si="0"/>
        <v>2.0000000000131024E-2</v>
      </c>
      <c r="E19">
        <f t="shared" si="1"/>
        <v>3.504104925911093</v>
      </c>
      <c r="F19">
        <f t="shared" si="2"/>
        <v>-0.11728359745980046</v>
      </c>
    </row>
    <row r="20" spans="1:9" x14ac:dyDescent="0.3">
      <c r="A20" s="1">
        <v>3.25</v>
      </c>
      <c r="B20" s="12">
        <v>3.2498</v>
      </c>
      <c r="C20" s="3">
        <f t="shared" si="0"/>
        <v>-0.19999999999997797</v>
      </c>
      <c r="E20">
        <f t="shared" si="1"/>
        <v>3.2538045654785739</v>
      </c>
      <c r="F20">
        <f t="shared" si="2"/>
        <v>-0.11706355318688877</v>
      </c>
    </row>
    <row r="21" spans="1:9" x14ac:dyDescent="0.3">
      <c r="A21" s="1">
        <v>3</v>
      </c>
      <c r="B21" s="12">
        <v>2.9998999999999998</v>
      </c>
      <c r="C21" s="3">
        <f t="shared" si="0"/>
        <v>-0.10000000000021103</v>
      </c>
      <c r="E21">
        <f t="shared" si="1"/>
        <v>3.0035042050460552</v>
      </c>
      <c r="F21">
        <f t="shared" si="2"/>
        <v>-0.11680683486850658</v>
      </c>
    </row>
    <row r="22" spans="1:9" x14ac:dyDescent="0.3">
      <c r="A22" s="1">
        <v>2</v>
      </c>
      <c r="B22" s="12">
        <v>1.9996</v>
      </c>
      <c r="C22" s="3">
        <f t="shared" si="0"/>
        <v>-0.39999999999995595</v>
      </c>
      <c r="E22">
        <f t="shared" si="1"/>
        <v>2.0023027633159791</v>
      </c>
      <c r="F22">
        <f t="shared" si="2"/>
        <v>-0.11513816579895586</v>
      </c>
    </row>
    <row r="23" spans="1:9" x14ac:dyDescent="0.3">
      <c r="A23" s="1">
        <v>1</v>
      </c>
      <c r="B23" s="12">
        <v>0.99965000000000004</v>
      </c>
      <c r="C23" s="3">
        <f t="shared" si="0"/>
        <v>-0.34999999999996145</v>
      </c>
      <c r="E23">
        <f t="shared" si="1"/>
        <v>1.001101321585903</v>
      </c>
      <c r="F23">
        <f t="shared" si="2"/>
        <v>-0.11013215859030367</v>
      </c>
    </row>
    <row r="24" spans="1:9" x14ac:dyDescent="0.3">
      <c r="A24" s="1">
        <v>0.75</v>
      </c>
      <c r="B24" s="12">
        <v>0.74983999999999995</v>
      </c>
      <c r="C24" s="3">
        <f t="shared" si="0"/>
        <v>-0.16000000000004899</v>
      </c>
      <c r="E24">
        <f t="shared" si="1"/>
        <v>0.75080096115338402</v>
      </c>
      <c r="F24">
        <f t="shared" si="2"/>
        <v>-0.10679482045120221</v>
      </c>
    </row>
    <row r="25" spans="1:9" x14ac:dyDescent="0.3">
      <c r="A25" s="1">
        <v>0.5</v>
      </c>
      <c r="B25" s="12">
        <v>0.49967</v>
      </c>
      <c r="C25" s="3">
        <f t="shared" si="0"/>
        <v>-0.32999999999999696</v>
      </c>
      <c r="E25">
        <f t="shared" si="1"/>
        <v>0.500500600720865</v>
      </c>
      <c r="F25">
        <f t="shared" si="2"/>
        <v>-0.1001201441729993</v>
      </c>
    </row>
    <row r="26" spans="1:9" x14ac:dyDescent="0.3">
      <c r="A26" s="1">
        <v>0.25</v>
      </c>
      <c r="B26" s="12">
        <v>0.24990000000000001</v>
      </c>
      <c r="C26" s="3">
        <f t="shared" si="0"/>
        <v>-9.9999999999988987E-2</v>
      </c>
      <c r="E26">
        <f t="shared" si="1"/>
        <v>0.25020024028834603</v>
      </c>
      <c r="F26">
        <f t="shared" si="2"/>
        <v>-8.0096115338412766E-2</v>
      </c>
    </row>
    <row r="27" spans="1:9" x14ac:dyDescent="0.3">
      <c r="A27" s="1">
        <v>0.1</v>
      </c>
      <c r="B27" s="12">
        <v>9.98E-2</v>
      </c>
      <c r="C27" s="3">
        <f t="shared" si="0"/>
        <v>-0.20000000000000573</v>
      </c>
      <c r="E27">
        <f t="shared" si="1"/>
        <v>0.1000200240288346</v>
      </c>
      <c r="F27">
        <f t="shared" si="2"/>
        <v>-2.0024028834594865E-2</v>
      </c>
    </row>
    <row r="28" spans="1:9" x14ac:dyDescent="0.3">
      <c r="A28" s="1">
        <v>0.05</v>
      </c>
      <c r="B28" s="12">
        <v>4.9799999999999997E-2</v>
      </c>
      <c r="C28" s="3">
        <f t="shared" si="0"/>
        <v>-0.20000000000000573</v>
      </c>
      <c r="E28">
        <f t="shared" si="1"/>
        <v>4.9959951942330799E-2</v>
      </c>
      <c r="F28">
        <f t="shared" si="2"/>
        <v>8.0096115338407214E-2</v>
      </c>
    </row>
    <row r="29" spans="1:9" x14ac:dyDescent="0.3">
      <c r="A29" s="1">
        <v>0.02</v>
      </c>
      <c r="B29" s="12">
        <v>1.9900000000000001E-2</v>
      </c>
      <c r="C29" s="3">
        <f t="shared" si="0"/>
        <v>-9.9999999999999395E-2</v>
      </c>
      <c r="E29">
        <f t="shared" si="1"/>
        <v>1.9923908690428514E-2</v>
      </c>
      <c r="F29">
        <f t="shared" si="2"/>
        <v>0.38045654785743427</v>
      </c>
    </row>
    <row r="30" spans="1:9" x14ac:dyDescent="0.3">
      <c r="A30" s="1">
        <v>0.01</v>
      </c>
      <c r="B30" s="12">
        <v>9.9000000000000008E-3</v>
      </c>
      <c r="C30" s="3">
        <f t="shared" si="0"/>
        <v>-9.9999999999999395E-2</v>
      </c>
      <c r="E30">
        <f t="shared" si="1"/>
        <v>9.911894273127754E-3</v>
      </c>
      <c r="F30">
        <f t="shared" si="2"/>
        <v>0.88105726872246204</v>
      </c>
      <c r="G30" s="15"/>
      <c r="H30" s="15"/>
      <c r="I30" s="15"/>
    </row>
    <row r="31" spans="1:9" x14ac:dyDescent="0.3">
      <c r="A31" s="7">
        <v>0</v>
      </c>
      <c r="B31" s="13">
        <v>1.8000000000000001E-4</v>
      </c>
      <c r="C31" s="8">
        <f t="shared" si="0"/>
        <v>0.18000000000000002</v>
      </c>
      <c r="D31" s="18"/>
      <c r="E31" s="18">
        <f t="shared" si="1"/>
        <v>-1.0012014417300761E-4</v>
      </c>
      <c r="F31" s="18" t="e">
        <f t="shared" si="2"/>
        <v>#DIV/0!</v>
      </c>
      <c r="H31" s="9"/>
    </row>
    <row r="32" spans="1:9" x14ac:dyDescent="0.3">
      <c r="A32" s="1">
        <v>-0.01</v>
      </c>
      <c r="B32" s="12">
        <v>-1.038E-2</v>
      </c>
      <c r="C32" s="3">
        <f t="shared" si="0"/>
        <v>-0.38000000000000012</v>
      </c>
      <c r="E32">
        <f t="shared" si="1"/>
        <v>-1.0112134561473769E-2</v>
      </c>
      <c r="F32">
        <f t="shared" si="2"/>
        <v>-1.1213456147376837</v>
      </c>
    </row>
    <row r="33" spans="1:6" x14ac:dyDescent="0.3">
      <c r="A33" s="1">
        <v>-0.02</v>
      </c>
      <c r="B33" s="12">
        <v>-2.0459999999999999E-2</v>
      </c>
      <c r="C33" s="3">
        <f t="shared" si="0"/>
        <v>-0.45999999999999863</v>
      </c>
      <c r="E33">
        <f t="shared" si="1"/>
        <v>-2.0124148978774528E-2</v>
      </c>
      <c r="F33">
        <f t="shared" si="2"/>
        <v>-0.62074489387263854</v>
      </c>
    </row>
    <row r="34" spans="1:6" x14ac:dyDescent="0.3">
      <c r="A34" s="1">
        <v>-0.05</v>
      </c>
      <c r="B34" s="12">
        <v>-5.0340000000000003E-2</v>
      </c>
      <c r="C34" s="3">
        <f t="shared" si="0"/>
        <v>-0.34</v>
      </c>
      <c r="E34">
        <f t="shared" si="1"/>
        <v>-5.0160192230676817E-2</v>
      </c>
      <c r="F34">
        <f t="shared" si="2"/>
        <v>-0.32038446135362886</v>
      </c>
    </row>
    <row r="35" spans="1:6" x14ac:dyDescent="0.3">
      <c r="A35" s="1">
        <v>-0.1</v>
      </c>
      <c r="B35" s="12">
        <v>-0.10038</v>
      </c>
      <c r="C35" s="3">
        <f t="shared" si="0"/>
        <v>-0.37999999999999146</v>
      </c>
      <c r="E35">
        <f t="shared" si="1"/>
        <v>-0.10022026431718062</v>
      </c>
      <c r="F35">
        <f t="shared" si="2"/>
        <v>-0.2202643171806129</v>
      </c>
    </row>
    <row r="36" spans="1:6" x14ac:dyDescent="0.3">
      <c r="A36" s="1">
        <v>-0.25</v>
      </c>
      <c r="B36" s="12">
        <v>-0.25047000000000003</v>
      </c>
      <c r="C36" s="3">
        <f t="shared" si="0"/>
        <v>-0.47000000000002595</v>
      </c>
      <c r="E36">
        <f t="shared" si="1"/>
        <v>-0.25040048057669201</v>
      </c>
      <c r="F36">
        <f t="shared" si="2"/>
        <v>-0.16019223067680333</v>
      </c>
    </row>
    <row r="37" spans="1:6" x14ac:dyDescent="0.3">
      <c r="A37" s="1">
        <v>-0.5</v>
      </c>
      <c r="B37" s="12">
        <v>-0.50024000000000002</v>
      </c>
      <c r="C37" s="3">
        <f t="shared" si="0"/>
        <v>-0.24000000000001798</v>
      </c>
      <c r="E37">
        <f t="shared" si="1"/>
        <v>-0.50070084100921108</v>
      </c>
      <c r="F37">
        <f t="shared" si="2"/>
        <v>-0.14016820184221679</v>
      </c>
    </row>
    <row r="38" spans="1:6" x14ac:dyDescent="0.3">
      <c r="A38" s="1">
        <v>-0.75</v>
      </c>
      <c r="B38" s="12">
        <v>-0.75039999999999996</v>
      </c>
      <c r="C38" s="3">
        <f t="shared" si="0"/>
        <v>-0.39999999999995595</v>
      </c>
      <c r="E38">
        <f t="shared" si="1"/>
        <v>-0.7510012014417301</v>
      </c>
      <c r="F38">
        <f t="shared" si="2"/>
        <v>-0.13349352556401389</v>
      </c>
    </row>
    <row r="39" spans="1:6" x14ac:dyDescent="0.3">
      <c r="A39" s="1">
        <v>-1</v>
      </c>
      <c r="B39" s="12">
        <v>-1.0001899999999999</v>
      </c>
      <c r="C39" s="3">
        <f t="shared" si="0"/>
        <v>-0.18999999999991246</v>
      </c>
      <c r="E39">
        <f t="shared" si="1"/>
        <v>-1.0013015618742491</v>
      </c>
      <c r="F39">
        <f t="shared" si="2"/>
        <v>-0.13015618742491242</v>
      </c>
    </row>
    <row r="40" spans="1:6" x14ac:dyDescent="0.3">
      <c r="A40" s="1">
        <v>-2</v>
      </c>
      <c r="B40" s="12">
        <v>-2.0001000000000002</v>
      </c>
      <c r="C40" s="3">
        <f t="shared" si="0"/>
        <v>-0.10000000000021103</v>
      </c>
      <c r="E40">
        <f t="shared" si="1"/>
        <v>-2.0025030036043252</v>
      </c>
      <c r="F40">
        <f t="shared" si="2"/>
        <v>-0.12515018021626023</v>
      </c>
    </row>
    <row r="41" spans="1:6" x14ac:dyDescent="0.3">
      <c r="A41" s="1">
        <v>-3</v>
      </c>
      <c r="B41" s="12">
        <v>-3.0004</v>
      </c>
      <c r="C41" s="3">
        <f t="shared" si="0"/>
        <v>-0.39999999999995595</v>
      </c>
      <c r="E41">
        <f t="shared" si="1"/>
        <v>-3.0037044453344013</v>
      </c>
      <c r="F41">
        <f t="shared" si="2"/>
        <v>-0.12348151114670951</v>
      </c>
    </row>
    <row r="42" spans="1:6" x14ac:dyDescent="0.3">
      <c r="A42" s="1">
        <v>-3.25</v>
      </c>
      <c r="B42" s="12">
        <v>-3.2503000000000002</v>
      </c>
      <c r="C42" s="3">
        <f t="shared" si="0"/>
        <v>-0.300000000000189</v>
      </c>
      <c r="E42">
        <f t="shared" si="1"/>
        <v>-3.2540048057669204</v>
      </c>
      <c r="F42">
        <f t="shared" si="2"/>
        <v>-0.1232247928283205</v>
      </c>
    </row>
    <row r="43" spans="1:6" x14ac:dyDescent="0.3">
      <c r="A43" s="1">
        <v>-3.5</v>
      </c>
      <c r="B43" s="12">
        <v>-3.5005999999999999</v>
      </c>
      <c r="C43" s="3">
        <f t="shared" si="0"/>
        <v>-0.59999999999993392</v>
      </c>
      <c r="E43">
        <f t="shared" si="1"/>
        <v>-3.5043051661994395</v>
      </c>
      <c r="F43">
        <f t="shared" si="2"/>
        <v>-0.12300474855541563</v>
      </c>
    </row>
    <row r="44" spans="1:6" x14ac:dyDescent="0.3">
      <c r="A44" s="1">
        <v>-3.75</v>
      </c>
      <c r="B44" s="12">
        <v>-3.7504599999999999</v>
      </c>
      <c r="C44" s="3">
        <f t="shared" si="0"/>
        <v>-0.45999999999990493</v>
      </c>
      <c r="E44">
        <f t="shared" si="1"/>
        <v>-3.7546055266319587</v>
      </c>
      <c r="F44">
        <f t="shared" si="2"/>
        <v>-0.12281404351889809</v>
      </c>
    </row>
    <row r="45" spans="1:6" x14ac:dyDescent="0.3">
      <c r="A45" s="1">
        <v>-4</v>
      </c>
      <c r="B45" s="12">
        <v>-4.0003000000000002</v>
      </c>
      <c r="C45" s="3">
        <f t="shared" si="0"/>
        <v>-0.300000000000189</v>
      </c>
      <c r="E45">
        <f t="shared" si="1"/>
        <v>-4.0049058870644769</v>
      </c>
      <c r="F45">
        <f t="shared" si="2"/>
        <v>-0.12264717661192304</v>
      </c>
    </row>
    <row r="46" spans="1:6" x14ac:dyDescent="0.3">
      <c r="A46" s="1">
        <v>-4.4000000000000004</v>
      </c>
      <c r="B46" s="12">
        <v>-4.3997000000000002</v>
      </c>
      <c r="C46" s="3">
        <f t="shared" si="0"/>
        <v>0.300000000000189</v>
      </c>
      <c r="E46">
        <f t="shared" si="1"/>
        <v>-4.4053864637565079</v>
      </c>
      <c r="F46">
        <f t="shared" si="2"/>
        <v>-0.12241963082971662</v>
      </c>
    </row>
    <row r="47" spans="1:6" x14ac:dyDescent="0.3">
      <c r="A47" s="1">
        <v>-4.5</v>
      </c>
      <c r="B47" s="12">
        <v>-4.4997999999999996</v>
      </c>
      <c r="C47" s="3">
        <f t="shared" si="0"/>
        <v>0.20000000000042206</v>
      </c>
      <c r="E47">
        <f t="shared" si="1"/>
        <v>-4.5055066079295152</v>
      </c>
      <c r="F47">
        <f t="shared" si="2"/>
        <v>-0.12236906510033742</v>
      </c>
    </row>
    <row r="48" spans="1:6" x14ac:dyDescent="0.3">
      <c r="A48" s="1">
        <v>-4.5999999999999996</v>
      </c>
      <c r="B48" s="12">
        <v>-4.59992</v>
      </c>
      <c r="C48" s="3">
        <f t="shared" si="0"/>
        <v>7.9999999999635918E-2</v>
      </c>
      <c r="E48">
        <f t="shared" si="1"/>
        <v>-4.6056267521025225</v>
      </c>
      <c r="F48">
        <f t="shared" si="2"/>
        <v>-0.12232069788093124</v>
      </c>
    </row>
    <row r="49" spans="1:6" x14ac:dyDescent="0.3">
      <c r="A49" s="1">
        <v>-4.75</v>
      </c>
      <c r="B49" s="12">
        <v>-4.75007</v>
      </c>
      <c r="C49" s="3">
        <f t="shared" si="0"/>
        <v>-7.0000000000014495E-2</v>
      </c>
      <c r="E49">
        <f t="shared" si="1"/>
        <v>-4.7558069683620339</v>
      </c>
      <c r="F49">
        <f t="shared" si="2"/>
        <v>-0.12225196551650254</v>
      </c>
    </row>
    <row r="50" spans="1:6" x14ac:dyDescent="0.3">
      <c r="A50" s="1">
        <v>-4.9000000000000004</v>
      </c>
      <c r="B50" s="12">
        <v>-4.8998499999999998</v>
      </c>
      <c r="C50" s="3">
        <f t="shared" si="0"/>
        <v>0.15000000000053859</v>
      </c>
      <c r="E50">
        <f t="shared" si="1"/>
        <v>-4.9059871846215461</v>
      </c>
      <c r="F50">
        <f t="shared" si="2"/>
        <v>-0.1221874412560366</v>
      </c>
    </row>
    <row r="51" spans="1:6" x14ac:dyDescent="0.3">
      <c r="A51" s="1">
        <v>-5</v>
      </c>
      <c r="B51" s="12">
        <v>-4.9999599999999997</v>
      </c>
      <c r="C51" s="3">
        <f t="shared" si="0"/>
        <v>4.0000000000262048E-2</v>
      </c>
      <c r="E51">
        <f t="shared" si="1"/>
        <v>-5.0061073287945534</v>
      </c>
      <c r="F51">
        <f t="shared" si="2"/>
        <v>-0.12214657589106892</v>
      </c>
    </row>
    <row r="52" spans="1:6" x14ac:dyDescent="0.3">
      <c r="A52" s="1">
        <v>-5.0999999999999996</v>
      </c>
      <c r="B52" s="12">
        <v>-5.0983000000000001</v>
      </c>
      <c r="C52" s="3">
        <f t="shared" si="0"/>
        <v>1.6999999999995907</v>
      </c>
      <c r="E52">
        <f t="shared" si="1"/>
        <v>-5.1062274729675607</v>
      </c>
      <c r="F52">
        <f t="shared" si="2"/>
        <v>-0.12210731308943332</v>
      </c>
    </row>
    <row r="53" spans="1:6" x14ac:dyDescent="0.3">
      <c r="A53" s="1">
        <v>-5.2</v>
      </c>
      <c r="B53" s="12">
        <v>-5.1386000000000003</v>
      </c>
      <c r="C53" s="3">
        <f t="shared" si="0"/>
        <v>61.399999999999899</v>
      </c>
      <c r="E53">
        <f t="shared" si="1"/>
        <v>-5.2063476171405689</v>
      </c>
      <c r="F53">
        <f t="shared" si="2"/>
        <v>-0.1220695603955529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10B0-F6CA-425C-AFAB-03D2B3DC6E1B}">
  <dimension ref="A1:M64"/>
  <sheetViews>
    <sheetView zoomScale="80" zoomScaleNormal="80" workbookViewId="0">
      <selection activeCell="K7" sqref="K7"/>
    </sheetView>
  </sheetViews>
  <sheetFormatPr baseColWidth="10" defaultRowHeight="14.4" x14ac:dyDescent="0.3"/>
  <cols>
    <col min="4" max="4" width="13.77734375" customWidth="1"/>
    <col min="5" max="5" width="20.77734375" customWidth="1"/>
    <col min="6" max="9" width="13.77734375" customWidth="1"/>
  </cols>
  <sheetData>
    <row r="1" spans="1:13" x14ac:dyDescent="0.3">
      <c r="A1" s="5" t="s">
        <v>11</v>
      </c>
      <c r="B1" s="5"/>
      <c r="C1" s="5"/>
      <c r="D1" s="5"/>
      <c r="E1" s="5"/>
      <c r="G1" s="6" t="s">
        <v>6</v>
      </c>
      <c r="H1" s="10" t="s">
        <v>17</v>
      </c>
    </row>
    <row r="2" spans="1:13" x14ac:dyDescent="0.3">
      <c r="A2" s="5" t="s">
        <v>12</v>
      </c>
      <c r="B2" s="5"/>
      <c r="C2" s="5"/>
      <c r="D2" s="5"/>
      <c r="E2" s="5"/>
      <c r="G2" s="6" t="s">
        <v>7</v>
      </c>
      <c r="H2" s="10" t="s">
        <v>13</v>
      </c>
      <c r="I2" s="11" t="s">
        <v>8</v>
      </c>
      <c r="M2" t="s">
        <v>9</v>
      </c>
    </row>
    <row r="4" spans="1:13" x14ac:dyDescent="0.3">
      <c r="A4" s="6" t="s">
        <v>0</v>
      </c>
      <c r="B4" s="21" t="s">
        <v>15</v>
      </c>
      <c r="C4" s="21"/>
      <c r="D4" s="21"/>
    </row>
    <row r="5" spans="1:13" x14ac:dyDescent="0.3">
      <c r="A5" s="6" t="s">
        <v>1</v>
      </c>
      <c r="B5" s="21" t="s">
        <v>16</v>
      </c>
      <c r="C5" s="21"/>
      <c r="D5" s="21"/>
    </row>
    <row r="7" spans="1:13" ht="15.6" x14ac:dyDescent="0.3">
      <c r="E7" s="16" t="s">
        <v>18</v>
      </c>
      <c r="F7" s="14"/>
      <c r="G7" s="14"/>
      <c r="H7" s="14"/>
      <c r="I7" s="14"/>
    </row>
    <row r="8" spans="1:13" ht="28.8" customHeight="1" x14ac:dyDescent="0.3">
      <c r="A8" s="4" t="s">
        <v>10</v>
      </c>
      <c r="B8" s="4" t="s">
        <v>2</v>
      </c>
      <c r="C8" s="4" t="s">
        <v>4</v>
      </c>
      <c r="D8" s="4"/>
      <c r="E8" s="17" t="s">
        <v>19</v>
      </c>
      <c r="F8" s="19" t="s">
        <v>20</v>
      </c>
    </row>
    <row r="9" spans="1:13" x14ac:dyDescent="0.3">
      <c r="A9" s="1">
        <v>5.2</v>
      </c>
      <c r="B9">
        <v>5.1422999999999996</v>
      </c>
      <c r="C9" s="3">
        <f t="shared" ref="C9:C53" si="0" xml:space="preserve"> PRODUCT(B9-A9, 1000)</f>
        <v>-57.700000000000529</v>
      </c>
      <c r="E9">
        <f>(A9 - 0.0004) / 0.9991</f>
        <v>5.2042838554699236</v>
      </c>
      <c r="F9">
        <f>(A9 - E9) / A9 * 100</f>
        <v>-8.2381835960065014E-2</v>
      </c>
    </row>
    <row r="10" spans="1:13" x14ac:dyDescent="0.3">
      <c r="A10" s="1">
        <v>5.0999999999999996</v>
      </c>
      <c r="B10">
        <v>5.1013400000000004</v>
      </c>
      <c r="C10" s="3">
        <f t="shared" si="0"/>
        <v>1.340000000000785</v>
      </c>
      <c r="E10">
        <f t="shared" ref="E10:E53" si="1">(A10 - 0.0004) / 0.9991</f>
        <v>5.1041937743969568</v>
      </c>
      <c r="F10">
        <f t="shared" ref="F10:F53" si="2">(A10 - E10) / A10 * 100</f>
        <v>-8.2230870528570935E-2</v>
      </c>
    </row>
    <row r="11" spans="1:13" x14ac:dyDescent="0.3">
      <c r="A11" s="1">
        <v>5</v>
      </c>
      <c r="B11" s="12">
        <v>5.0019200000000001</v>
      </c>
      <c r="C11" s="3">
        <f t="shared" si="0"/>
        <v>1.9200000000001438</v>
      </c>
      <c r="E11">
        <f t="shared" si="1"/>
        <v>5.0041036933239917</v>
      </c>
      <c r="F11">
        <f t="shared" si="2"/>
        <v>-8.2073866479834834E-2</v>
      </c>
    </row>
    <row r="12" spans="1:13" x14ac:dyDescent="0.3">
      <c r="A12" s="1">
        <v>4.9000000000000004</v>
      </c>
      <c r="B12" s="12">
        <v>4.9017499999999998</v>
      </c>
      <c r="C12" s="3">
        <f t="shared" si="0"/>
        <v>1.7499999999994742</v>
      </c>
      <c r="E12">
        <f t="shared" si="1"/>
        <v>4.9040136122510267</v>
      </c>
      <c r="F12">
        <f t="shared" si="2"/>
        <v>-8.1910454102578897E-2</v>
      </c>
    </row>
    <row r="13" spans="1:13" x14ac:dyDescent="0.3">
      <c r="A13" s="1">
        <v>4.75</v>
      </c>
      <c r="B13" s="12">
        <v>4.7514599999999998</v>
      </c>
      <c r="C13" s="3">
        <f t="shared" si="0"/>
        <v>1.4599999999997948</v>
      </c>
      <c r="E13">
        <f t="shared" si="1"/>
        <v>4.7538784906415774</v>
      </c>
      <c r="F13">
        <f t="shared" si="2"/>
        <v>-8.165243455952452E-2</v>
      </c>
    </row>
    <row r="14" spans="1:13" x14ac:dyDescent="0.3">
      <c r="A14" s="1">
        <v>4.5999999999999996</v>
      </c>
      <c r="B14" s="12">
        <v>4.6011499999999996</v>
      </c>
      <c r="C14" s="3">
        <f t="shared" si="0"/>
        <v>1.1499999999999844</v>
      </c>
      <c r="E14">
        <f t="shared" si="1"/>
        <v>4.603743369032129</v>
      </c>
      <c r="F14">
        <f t="shared" si="2"/>
        <v>-8.13775876549859E-2</v>
      </c>
    </row>
    <row r="15" spans="1:13" x14ac:dyDescent="0.3">
      <c r="A15" s="1">
        <v>4.5</v>
      </c>
      <c r="B15" s="12">
        <v>4.5025500000000003</v>
      </c>
      <c r="C15" s="3">
        <f t="shared" si="0"/>
        <v>2.5500000000002743</v>
      </c>
      <c r="E15">
        <f t="shared" si="1"/>
        <v>4.5036532879591631</v>
      </c>
      <c r="F15">
        <f t="shared" si="2"/>
        <v>-8.1184176870290822E-2</v>
      </c>
    </row>
    <row r="16" spans="1:13" x14ac:dyDescent="0.3">
      <c r="A16" s="1">
        <v>4.4000000000000004</v>
      </c>
      <c r="B16" s="12">
        <v>4.4023599999999998</v>
      </c>
      <c r="C16" s="3">
        <f t="shared" si="0"/>
        <v>2.3599999999994736</v>
      </c>
      <c r="E16">
        <f t="shared" si="1"/>
        <v>4.4035632068861981</v>
      </c>
      <c r="F16">
        <f t="shared" si="2"/>
        <v>-8.0981974686311617E-2</v>
      </c>
    </row>
    <row r="17" spans="1:9" x14ac:dyDescent="0.3">
      <c r="A17" s="1">
        <v>4</v>
      </c>
      <c r="B17" s="12">
        <v>4.0019799999999996</v>
      </c>
      <c r="C17" s="3">
        <f t="shared" si="0"/>
        <v>1.9799999999996487</v>
      </c>
      <c r="E17">
        <f t="shared" si="1"/>
        <v>4.0032028825943353</v>
      </c>
      <c r="F17">
        <f t="shared" si="2"/>
        <v>-8.007206485838303E-2</v>
      </c>
    </row>
    <row r="18" spans="1:9" x14ac:dyDescent="0.3">
      <c r="A18" s="1">
        <v>3.75</v>
      </c>
      <c r="B18" s="12">
        <v>3.7514799999999999</v>
      </c>
      <c r="C18" s="3">
        <f t="shared" si="0"/>
        <v>1.4799999999999258</v>
      </c>
      <c r="E18">
        <f t="shared" si="1"/>
        <v>3.752977679911921</v>
      </c>
      <c r="F18">
        <f t="shared" si="2"/>
        <v>-7.9404797651226502E-2</v>
      </c>
    </row>
    <row r="19" spans="1:9" x14ac:dyDescent="0.3">
      <c r="A19" s="1">
        <v>3.5</v>
      </c>
      <c r="B19" s="12">
        <v>3.50136</v>
      </c>
      <c r="C19" s="3">
        <f t="shared" si="0"/>
        <v>1.3600000000000279</v>
      </c>
      <c r="E19">
        <f t="shared" si="1"/>
        <v>3.5027524772295067</v>
      </c>
      <c r="F19">
        <f t="shared" si="2"/>
        <v>-7.8642206557333338E-2</v>
      </c>
    </row>
    <row r="20" spans="1:9" x14ac:dyDescent="0.3">
      <c r="A20" s="1">
        <v>3.25</v>
      </c>
      <c r="B20" s="12">
        <v>3.2523</v>
      </c>
      <c r="C20" s="3">
        <f t="shared" si="0"/>
        <v>2.2999999999999687</v>
      </c>
      <c r="E20">
        <f t="shared" si="1"/>
        <v>3.2525272745470923</v>
      </c>
      <c r="F20">
        <f t="shared" si="2"/>
        <v>-7.7762293756687376E-2</v>
      </c>
    </row>
    <row r="21" spans="1:9" x14ac:dyDescent="0.3">
      <c r="A21" s="1">
        <v>3</v>
      </c>
      <c r="B21" s="12">
        <v>3.0012500000000002</v>
      </c>
      <c r="C21" s="3">
        <f t="shared" si="0"/>
        <v>1.2500000000001954</v>
      </c>
      <c r="E21">
        <f t="shared" si="1"/>
        <v>3.0023020718646785</v>
      </c>
      <c r="F21">
        <f t="shared" si="2"/>
        <v>-7.6735728822615229E-2</v>
      </c>
    </row>
    <row r="22" spans="1:9" x14ac:dyDescent="0.3">
      <c r="A22" s="1">
        <v>2</v>
      </c>
      <c r="B22" s="12">
        <v>2.0009999999999999</v>
      </c>
      <c r="C22" s="3">
        <f t="shared" si="0"/>
        <v>0.99999999999988987</v>
      </c>
      <c r="E22">
        <f t="shared" si="1"/>
        <v>2.0014012611350216</v>
      </c>
      <c r="F22">
        <f t="shared" si="2"/>
        <v>-7.00630567510796E-2</v>
      </c>
    </row>
    <row r="23" spans="1:9" x14ac:dyDescent="0.3">
      <c r="A23" s="1">
        <v>1</v>
      </c>
      <c r="B23" s="12">
        <v>0.99990999999999997</v>
      </c>
      <c r="C23" s="3">
        <f t="shared" si="0"/>
        <v>-9.0000000000034497E-2</v>
      </c>
      <c r="E23">
        <f t="shared" si="1"/>
        <v>1.0005004504053649</v>
      </c>
      <c r="F23">
        <f t="shared" si="2"/>
        <v>-5.0045040536494945E-2</v>
      </c>
    </row>
    <row r="24" spans="1:9" x14ac:dyDescent="0.3">
      <c r="A24" s="1">
        <v>0.75</v>
      </c>
      <c r="B24" s="12">
        <v>0.751</v>
      </c>
      <c r="C24" s="3">
        <f t="shared" si="0"/>
        <v>1.0000000000000009</v>
      </c>
      <c r="E24">
        <f t="shared" si="1"/>
        <v>0.75027524772295073</v>
      </c>
      <c r="F24">
        <f t="shared" si="2"/>
        <v>-3.6699696393431111E-2</v>
      </c>
    </row>
    <row r="25" spans="1:9" x14ac:dyDescent="0.3">
      <c r="A25" s="1">
        <v>0.5</v>
      </c>
      <c r="B25" s="12">
        <v>0.50053999999999998</v>
      </c>
      <c r="C25" s="3">
        <f t="shared" si="0"/>
        <v>0.53999999999998494</v>
      </c>
      <c r="E25">
        <f t="shared" si="1"/>
        <v>0.50005004504053652</v>
      </c>
      <c r="F25">
        <f t="shared" si="2"/>
        <v>-1.000900810730343E-2</v>
      </c>
    </row>
    <row r="26" spans="1:9" x14ac:dyDescent="0.3">
      <c r="A26" s="1">
        <v>0.25</v>
      </c>
      <c r="B26" s="12">
        <v>0.25040000000000001</v>
      </c>
      <c r="C26" s="3">
        <f t="shared" si="0"/>
        <v>0.40000000000001146</v>
      </c>
      <c r="E26">
        <f t="shared" si="1"/>
        <v>0.2498248423581223</v>
      </c>
      <c r="F26">
        <f t="shared" si="2"/>
        <v>7.00630567510796E-2</v>
      </c>
    </row>
    <row r="27" spans="1:9" x14ac:dyDescent="0.3">
      <c r="A27" s="1">
        <v>0.1</v>
      </c>
      <c r="B27" s="12">
        <v>0.10013</v>
      </c>
      <c r="C27" s="3">
        <f t="shared" si="0"/>
        <v>0.12999999999999123</v>
      </c>
      <c r="E27">
        <f t="shared" si="1"/>
        <v>9.9689720748673813E-2</v>
      </c>
      <c r="F27">
        <f t="shared" si="2"/>
        <v>0.31027925132619261</v>
      </c>
    </row>
    <row r="28" spans="1:9" x14ac:dyDescent="0.3">
      <c r="A28" s="1">
        <v>0.05</v>
      </c>
      <c r="B28" s="12">
        <v>5.0040000000000001E-2</v>
      </c>
      <c r="C28" s="3">
        <f t="shared" si="0"/>
        <v>3.999999999999837E-2</v>
      </c>
      <c r="E28">
        <f t="shared" si="1"/>
        <v>4.9644680212190977E-2</v>
      </c>
      <c r="F28">
        <f t="shared" si="2"/>
        <v>0.71063957561805224</v>
      </c>
    </row>
    <row r="29" spans="1:9" x14ac:dyDescent="0.3">
      <c r="A29" s="1">
        <v>0.02</v>
      </c>
      <c r="B29" s="12">
        <v>2.0979999999999999E-2</v>
      </c>
      <c r="C29" s="3">
        <f t="shared" si="0"/>
        <v>0.97999999999999821</v>
      </c>
      <c r="E29">
        <f t="shared" si="1"/>
        <v>1.9617655890301271E-2</v>
      </c>
      <c r="F29">
        <f t="shared" si="2"/>
        <v>1.911720548493645</v>
      </c>
    </row>
    <row r="30" spans="1:9" x14ac:dyDescent="0.3">
      <c r="A30" s="1">
        <v>0.01</v>
      </c>
      <c r="B30" s="12">
        <v>9.4999999999999998E-3</v>
      </c>
      <c r="C30" s="3">
        <f t="shared" si="0"/>
        <v>-0.50000000000000044</v>
      </c>
      <c r="E30">
        <f t="shared" si="1"/>
        <v>9.6086477830047059E-3</v>
      </c>
      <c r="F30">
        <f t="shared" si="2"/>
        <v>3.9135221699529432</v>
      </c>
      <c r="G30" s="15"/>
      <c r="H30" s="15"/>
      <c r="I30" s="15"/>
    </row>
    <row r="31" spans="1:9" x14ac:dyDescent="0.3">
      <c r="A31" s="7">
        <v>0</v>
      </c>
      <c r="B31" s="13">
        <v>5.0000000000000002E-5</v>
      </c>
      <c r="C31" s="8">
        <f t="shared" si="0"/>
        <v>0.05</v>
      </c>
      <c r="D31" s="18"/>
      <c r="E31" s="18">
        <f t="shared" si="1"/>
        <v>-4.0036032429186273E-4</v>
      </c>
      <c r="F31" s="18" t="e">
        <f t="shared" si="2"/>
        <v>#DIV/0!</v>
      </c>
      <c r="G31" s="9"/>
      <c r="H31" s="9"/>
      <c r="I31" s="9"/>
    </row>
    <row r="32" spans="1:9" x14ac:dyDescent="0.3">
      <c r="A32" s="1">
        <v>-0.01</v>
      </c>
      <c r="B32" s="12">
        <v>-9.58E-3</v>
      </c>
      <c r="C32" s="3">
        <f t="shared" si="0"/>
        <v>0.42000000000000026</v>
      </c>
      <c r="E32">
        <f>(A32 - 0.0004) / 0.9991</f>
        <v>-1.0409368431588429E-2</v>
      </c>
      <c r="F32">
        <f t="shared" si="2"/>
        <v>-4.0936843158842846</v>
      </c>
      <c r="G32" s="9"/>
      <c r="H32" s="9"/>
      <c r="I32" s="9"/>
    </row>
    <row r="33" spans="1:9" x14ac:dyDescent="0.3">
      <c r="A33" s="1">
        <v>-0.02</v>
      </c>
      <c r="B33" s="12">
        <v>-1.951E-2</v>
      </c>
      <c r="C33" s="3">
        <f t="shared" si="0"/>
        <v>0.49000000000000088</v>
      </c>
      <c r="E33">
        <f t="shared" si="1"/>
        <v>-2.0418376538884998E-2</v>
      </c>
      <c r="F33">
        <f t="shared" si="2"/>
        <v>-2.091882694424986</v>
      </c>
      <c r="G33" s="9"/>
      <c r="H33" s="9"/>
      <c r="I33" s="9"/>
    </row>
    <row r="34" spans="1:9" x14ac:dyDescent="0.3">
      <c r="A34" s="1">
        <v>-0.05</v>
      </c>
      <c r="B34" s="12">
        <v>-5.0139999999999997E-2</v>
      </c>
      <c r="C34" s="3">
        <f t="shared" si="0"/>
        <v>-0.1399999999999943</v>
      </c>
      <c r="E34">
        <f t="shared" si="1"/>
        <v>-5.0445400860774696E-2</v>
      </c>
      <c r="F34">
        <f t="shared" si="2"/>
        <v>-0.89080172154938631</v>
      </c>
      <c r="G34" s="9"/>
      <c r="H34" s="9"/>
      <c r="I34" s="9"/>
    </row>
    <row r="35" spans="1:9" x14ac:dyDescent="0.3">
      <c r="A35" s="1">
        <v>-0.1</v>
      </c>
      <c r="B35" s="12">
        <v>-0.10025000000000001</v>
      </c>
      <c r="C35" s="3">
        <f t="shared" si="0"/>
        <v>-0.25000000000000022</v>
      </c>
      <c r="E35">
        <f t="shared" si="1"/>
        <v>-0.10049044139725753</v>
      </c>
      <c r="F35">
        <f t="shared" si="2"/>
        <v>-0.49044139725752667</v>
      </c>
      <c r="G35" s="9"/>
      <c r="H35" s="9"/>
      <c r="I35" s="9"/>
    </row>
    <row r="36" spans="1:9" x14ac:dyDescent="0.3">
      <c r="A36" s="1">
        <v>-0.25</v>
      </c>
      <c r="B36" s="12">
        <v>-0.24898999999999999</v>
      </c>
      <c r="C36" s="3">
        <f t="shared" si="0"/>
        <v>1.0100000000000109</v>
      </c>
      <c r="E36">
        <f t="shared" si="1"/>
        <v>-0.25062556300670608</v>
      </c>
      <c r="F36">
        <f t="shared" si="2"/>
        <v>-0.25022520268243031</v>
      </c>
      <c r="G36" s="9"/>
      <c r="H36" s="9"/>
      <c r="I36" s="9"/>
    </row>
    <row r="37" spans="1:9" x14ac:dyDescent="0.3">
      <c r="A37" s="1">
        <v>-0.5</v>
      </c>
      <c r="B37" s="12">
        <v>-0.49906</v>
      </c>
      <c r="C37" s="3">
        <f t="shared" si="0"/>
        <v>0.93999999999999639</v>
      </c>
      <c r="E37">
        <f t="shared" si="1"/>
        <v>-0.50085076568912013</v>
      </c>
      <c r="F37">
        <f t="shared" si="2"/>
        <v>-0.17015313782402508</v>
      </c>
      <c r="G37" s="9"/>
      <c r="H37" s="9"/>
      <c r="I37" s="9"/>
    </row>
    <row r="38" spans="1:9" x14ac:dyDescent="0.3">
      <c r="A38" s="1">
        <v>-0.75</v>
      </c>
      <c r="B38" s="12">
        <v>-0.74953999999999998</v>
      </c>
      <c r="C38" s="3">
        <f t="shared" si="0"/>
        <v>0.46000000000001595</v>
      </c>
      <c r="E38">
        <f t="shared" si="1"/>
        <v>-0.75107596837153434</v>
      </c>
      <c r="F38">
        <f t="shared" si="2"/>
        <v>-0.14346244953791221</v>
      </c>
      <c r="G38" s="9"/>
      <c r="H38" s="9"/>
      <c r="I38" s="9"/>
    </row>
    <row r="39" spans="1:9" x14ac:dyDescent="0.3">
      <c r="A39" s="1">
        <v>-1</v>
      </c>
      <c r="B39" s="12">
        <v>-1.00003</v>
      </c>
      <c r="C39" s="3">
        <f t="shared" si="0"/>
        <v>-2.9999999999974492E-2</v>
      </c>
      <c r="E39">
        <f t="shared" si="1"/>
        <v>-1.0013011710539486</v>
      </c>
      <c r="F39">
        <f t="shared" si="2"/>
        <v>-0.13011710539485577</v>
      </c>
      <c r="G39" s="9"/>
      <c r="H39" s="9"/>
      <c r="I39" s="9"/>
    </row>
    <row r="40" spans="1:9" x14ac:dyDescent="0.3">
      <c r="A40" s="1">
        <v>-2</v>
      </c>
      <c r="B40" s="12">
        <v>-2.0001000000000002</v>
      </c>
      <c r="C40" s="3">
        <f t="shared" si="0"/>
        <v>-0.10000000000021103</v>
      </c>
      <c r="E40">
        <f t="shared" si="1"/>
        <v>-2.0022019817836054</v>
      </c>
      <c r="F40">
        <f t="shared" si="2"/>
        <v>-0.11009908918027111</v>
      </c>
      <c r="G40" s="9"/>
      <c r="H40" s="9"/>
      <c r="I40" s="9"/>
    </row>
    <row r="41" spans="1:9" x14ac:dyDescent="0.3">
      <c r="A41" s="1">
        <v>-3</v>
      </c>
      <c r="B41" s="12">
        <v>-2.9998</v>
      </c>
      <c r="C41" s="3">
        <f t="shared" si="0"/>
        <v>0.19999999999997797</v>
      </c>
      <c r="E41">
        <f t="shared" si="1"/>
        <v>-3.0031027925132618</v>
      </c>
      <c r="F41">
        <f t="shared" si="2"/>
        <v>-0.10342641710872809</v>
      </c>
      <c r="G41" s="9"/>
      <c r="H41" s="9"/>
      <c r="I41" s="9"/>
    </row>
    <row r="42" spans="1:9" x14ac:dyDescent="0.3">
      <c r="A42" s="1">
        <v>-3.25</v>
      </c>
      <c r="B42" s="12">
        <v>-3.2505999999999999</v>
      </c>
      <c r="C42" s="3">
        <f t="shared" si="0"/>
        <v>-0.59999999999993392</v>
      </c>
      <c r="E42">
        <f t="shared" si="1"/>
        <v>-3.2533279951956762</v>
      </c>
      <c r="F42">
        <f t="shared" si="2"/>
        <v>-0.10239985217465138</v>
      </c>
      <c r="G42" s="9"/>
      <c r="H42" s="9"/>
      <c r="I42" s="9"/>
    </row>
    <row r="43" spans="1:9" x14ac:dyDescent="0.3">
      <c r="A43" s="1">
        <v>-3.5</v>
      </c>
      <c r="B43" s="12">
        <v>-3.5011999999999999</v>
      </c>
      <c r="C43" s="3">
        <f t="shared" si="0"/>
        <v>-1.1999999999998678</v>
      </c>
      <c r="E43">
        <f t="shared" si="1"/>
        <v>-3.5035531978780905</v>
      </c>
      <c r="F43">
        <f t="shared" si="2"/>
        <v>-0.10151993937401421</v>
      </c>
      <c r="G43" s="9"/>
      <c r="H43" s="9"/>
      <c r="I43" s="9"/>
    </row>
    <row r="44" spans="1:9" x14ac:dyDescent="0.3">
      <c r="A44" s="1">
        <v>-3.75</v>
      </c>
      <c r="B44" s="12">
        <v>-3.7512300000000001</v>
      </c>
      <c r="C44" s="3">
        <f t="shared" si="0"/>
        <v>-1.2300000000000644</v>
      </c>
      <c r="E44">
        <f t="shared" si="1"/>
        <v>-3.7537784005605044</v>
      </c>
      <c r="F44">
        <f t="shared" si="2"/>
        <v>-0.1007573482801168</v>
      </c>
      <c r="G44" s="9"/>
      <c r="H44" s="9"/>
      <c r="I44" s="9"/>
    </row>
    <row r="45" spans="1:9" x14ac:dyDescent="0.3">
      <c r="A45" s="1">
        <v>-4</v>
      </c>
      <c r="B45" s="12">
        <v>-4</v>
      </c>
      <c r="C45" s="3">
        <f t="shared" si="0"/>
        <v>0</v>
      </c>
      <c r="E45">
        <f t="shared" si="1"/>
        <v>-4.0040036032429187</v>
      </c>
      <c r="F45">
        <f t="shared" si="2"/>
        <v>-0.10009008107296768</v>
      </c>
      <c r="G45" s="9"/>
      <c r="H45" s="9"/>
      <c r="I45" s="9"/>
    </row>
    <row r="46" spans="1:9" x14ac:dyDescent="0.3">
      <c r="A46" s="1">
        <v>-4.4000000000000004</v>
      </c>
      <c r="B46" s="12">
        <v>-4.4007800000000001</v>
      </c>
      <c r="C46" s="3">
        <f t="shared" si="0"/>
        <v>-0.77999999999978087</v>
      </c>
      <c r="E46">
        <f t="shared" si="1"/>
        <v>-4.4043639275347815</v>
      </c>
      <c r="F46">
        <f t="shared" si="2"/>
        <v>-9.9180171245024942E-2</v>
      </c>
      <c r="G46" s="9"/>
      <c r="H46" s="9"/>
      <c r="I46" s="9"/>
    </row>
    <row r="47" spans="1:9" x14ac:dyDescent="0.3">
      <c r="A47" s="1">
        <v>-4.5</v>
      </c>
      <c r="B47" s="12">
        <v>-4.5006000000000004</v>
      </c>
      <c r="C47" s="3">
        <f t="shared" si="0"/>
        <v>-0.60000000000037801</v>
      </c>
      <c r="E47">
        <f t="shared" si="1"/>
        <v>-4.5044540086077474</v>
      </c>
      <c r="F47">
        <f t="shared" si="2"/>
        <v>-9.8977969061052481E-2</v>
      </c>
      <c r="G47" s="9"/>
      <c r="H47" s="9"/>
      <c r="I47" s="9"/>
    </row>
    <row r="48" spans="1:9" x14ac:dyDescent="0.3">
      <c r="A48" s="1">
        <v>-4.5999999999999996</v>
      </c>
      <c r="B48" s="12">
        <v>-4.6007499999999997</v>
      </c>
      <c r="C48" s="3">
        <f t="shared" si="0"/>
        <v>-0.75000000000002842</v>
      </c>
      <c r="E48">
        <f t="shared" si="1"/>
        <v>-4.6045440896807124</v>
      </c>
      <c r="F48">
        <f t="shared" si="2"/>
        <v>-9.8784558276363857E-2</v>
      </c>
      <c r="G48" s="9"/>
      <c r="H48" s="9"/>
      <c r="I48" s="9"/>
    </row>
    <row r="49" spans="1:11" x14ac:dyDescent="0.3">
      <c r="A49" s="1">
        <v>-4.75</v>
      </c>
      <c r="B49" s="12">
        <v>-4.7510000000000003</v>
      </c>
      <c r="C49" s="3">
        <f t="shared" si="0"/>
        <v>-1.000000000000334</v>
      </c>
      <c r="E49">
        <f t="shared" si="1"/>
        <v>-4.7546792112901608</v>
      </c>
      <c r="F49">
        <f t="shared" si="2"/>
        <v>-9.8509711371806322E-2</v>
      </c>
      <c r="G49" s="9"/>
      <c r="H49" s="9"/>
      <c r="I49" s="9"/>
    </row>
    <row r="50" spans="1:11" x14ac:dyDescent="0.3">
      <c r="A50" s="1">
        <v>-4.9000000000000004</v>
      </c>
      <c r="B50" s="12">
        <v>-4.9012799999999999</v>
      </c>
      <c r="C50" s="3">
        <f t="shared" si="0"/>
        <v>-1.2799999999995038</v>
      </c>
      <c r="E50">
        <f t="shared" si="1"/>
        <v>-4.9048143328996101</v>
      </c>
      <c r="F50">
        <f t="shared" si="2"/>
        <v>-9.8251691828770443E-2</v>
      </c>
      <c r="G50" s="9"/>
      <c r="H50" s="9"/>
      <c r="I50" s="9"/>
    </row>
    <row r="51" spans="1:11" x14ac:dyDescent="0.3">
      <c r="A51" s="1">
        <v>-5</v>
      </c>
      <c r="B51" s="12">
        <v>-5.0014000000000003</v>
      </c>
      <c r="C51" s="3">
        <f t="shared" si="0"/>
        <v>-1.4000000000002899</v>
      </c>
      <c r="E51">
        <f t="shared" si="1"/>
        <v>-5.0049044139725751</v>
      </c>
      <c r="F51">
        <f t="shared" si="2"/>
        <v>-9.8088279451502558E-2</v>
      </c>
      <c r="G51" s="9"/>
      <c r="H51" s="9"/>
      <c r="I51" s="9"/>
    </row>
    <row r="52" spans="1:11" x14ac:dyDescent="0.3">
      <c r="A52" s="1">
        <v>-5.0999999999999996</v>
      </c>
      <c r="B52" s="12">
        <v>-5.0994200000000003</v>
      </c>
      <c r="C52" s="3">
        <f t="shared" si="0"/>
        <v>0.57999999999935881</v>
      </c>
      <c r="E52">
        <f t="shared" si="1"/>
        <v>-5.104994495045541</v>
      </c>
      <c r="F52">
        <f t="shared" si="2"/>
        <v>-9.7931275402772397E-2</v>
      </c>
      <c r="G52" s="9"/>
      <c r="H52" s="9"/>
      <c r="I52" s="9"/>
    </row>
    <row r="53" spans="1:11" x14ac:dyDescent="0.3">
      <c r="A53" s="1">
        <v>-5.2</v>
      </c>
      <c r="B53" s="12">
        <v>-5.1414799999999996</v>
      </c>
      <c r="C53" s="3">
        <f t="shared" si="0"/>
        <v>58.520000000000572</v>
      </c>
      <c r="E53">
        <f t="shared" si="1"/>
        <v>-5.2050845761185069</v>
      </c>
      <c r="F53">
        <f t="shared" si="2"/>
        <v>-9.778030997128398E-2</v>
      </c>
    </row>
    <row r="61" spans="1:11" x14ac:dyDescent="0.3">
      <c r="J61" s="1"/>
      <c r="K61" s="2"/>
    </row>
    <row r="62" spans="1:11" x14ac:dyDescent="0.3">
      <c r="J62" s="1"/>
      <c r="K62" s="2"/>
    </row>
    <row r="63" spans="1:11" x14ac:dyDescent="0.3">
      <c r="K63" s="2"/>
    </row>
    <row r="64" spans="1:11" x14ac:dyDescent="0.3">
      <c r="J64" s="1"/>
    </row>
  </sheetData>
  <mergeCells count="2">
    <mergeCell ref="B4:D4"/>
    <mergeCell ref="B5:D5"/>
  </mergeCells>
  <pageMargins left="0.7" right="0.7" top="0.78740157499999996" bottom="0.78740157499999996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Single-ended</vt:lpstr>
      <vt:lpstr>Fully Differential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cp:lastPrinted>2020-06-23T11:48:45Z</cp:lastPrinted>
  <dcterms:created xsi:type="dcterms:W3CDTF">2020-06-08T07:35:06Z</dcterms:created>
  <dcterms:modified xsi:type="dcterms:W3CDTF">2020-07-31T06:50:03Z</dcterms:modified>
</cp:coreProperties>
</file>