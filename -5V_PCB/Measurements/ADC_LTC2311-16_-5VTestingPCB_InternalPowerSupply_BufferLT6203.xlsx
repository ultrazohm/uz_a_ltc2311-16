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on\Desktop\Bachelorarbeit\"/>
    </mc:Choice>
  </mc:AlternateContent>
  <xr:revisionPtr revIDLastSave="0" documentId="13_ncr:1_{AF081E55-0BCF-4C4A-B20E-644F10D0F967}" xr6:coauthVersionLast="45" xr6:coauthVersionMax="45" xr10:uidLastSave="{00000000-0000-0000-0000-000000000000}"/>
  <bookViews>
    <workbookView xWindow="-108" yWindow="-108" windowWidth="23256" windowHeight="12576" xr2:uid="{495E718F-06B1-4643-B7E0-98C6B6E2ABE9}"/>
  </bookViews>
  <sheets>
    <sheet name="Single-ended" sheetId="3" r:id="rId1"/>
    <sheet name="Fully Differential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0" i="4" l="1"/>
  <c r="C11" i="4"/>
  <c r="C53" i="4"/>
  <c r="C54" i="4"/>
  <c r="C10" i="3"/>
  <c r="C11" i="3"/>
  <c r="C54" i="3"/>
  <c r="C53" i="3"/>
  <c r="C52" i="4" l="1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45" i="3" l="1"/>
  <c r="C44" i="3"/>
  <c r="C43" i="3"/>
  <c r="C20" i="3"/>
  <c r="C21" i="3"/>
  <c r="C19" i="3"/>
  <c r="C13" i="3" l="1"/>
  <c r="C14" i="3"/>
  <c r="C15" i="3"/>
  <c r="C16" i="3"/>
  <c r="C17" i="3"/>
  <c r="C18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6" i="3"/>
  <c r="C47" i="3"/>
  <c r="C48" i="3"/>
  <c r="C49" i="3"/>
  <c r="C50" i="3"/>
  <c r="C51" i="3"/>
  <c r="C52" i="3"/>
  <c r="C12" i="3"/>
</calcChain>
</file>

<file path=xl/sharedStrings.xml><?xml version="1.0" encoding="utf-8"?>
<sst xmlns="http://schemas.openxmlformats.org/spreadsheetml/2006/main" count="50" uniqueCount="25">
  <si>
    <t>In_P</t>
  </si>
  <si>
    <t>In_N</t>
  </si>
  <si>
    <t>Vout P to N</t>
  </si>
  <si>
    <t>GND</t>
  </si>
  <si>
    <t>abs deviation</t>
  </si>
  <si>
    <r>
      <t xml:space="preserve">Single Ended vs GND with </t>
    </r>
    <r>
      <rPr>
        <b/>
        <sz val="11"/>
        <color theme="1"/>
        <rFont val="Calibri"/>
        <family val="2"/>
        <scheme val="minor"/>
      </rPr>
      <t>10kOhm, 0.1%</t>
    </r>
    <r>
      <rPr>
        <sz val="11"/>
        <color theme="1"/>
        <rFont val="Calibri"/>
        <family val="2"/>
        <scheme val="minor"/>
      </rPr>
      <t xml:space="preserve"> feedback resistors</t>
    </r>
  </si>
  <si>
    <t>VCC+</t>
  </si>
  <si>
    <t>VCC-</t>
  </si>
  <si>
    <t>L = 100uH</t>
  </si>
  <si>
    <t>Buf_P to GND</t>
  </si>
  <si>
    <t>Buf_N to GND</t>
  </si>
  <si>
    <t>Buf_P to Buf_N</t>
  </si>
  <si>
    <r>
      <rPr>
        <sz val="11"/>
        <color rgb="FFFF0000"/>
        <rFont val="Calibri"/>
        <family val="2"/>
        <scheme val="minor"/>
      </rPr>
      <t>!</t>
    </r>
    <r>
      <rPr>
        <sz val="11"/>
        <color theme="1"/>
        <rFont val="Calibri"/>
        <family val="2"/>
        <scheme val="minor"/>
      </rPr>
      <t xml:space="preserve"> measurements vary in 10uV scope</t>
    </r>
  </si>
  <si>
    <t>In P to N</t>
  </si>
  <si>
    <r>
      <t xml:space="preserve">Fully differential with </t>
    </r>
    <r>
      <rPr>
        <b/>
        <sz val="11"/>
        <color theme="1"/>
        <rFont val="Calibri"/>
        <family val="2"/>
        <scheme val="minor"/>
      </rPr>
      <t>10kOhm, 0.1%</t>
    </r>
    <r>
      <rPr>
        <sz val="11"/>
        <color theme="1"/>
        <rFont val="Calibri"/>
        <family val="2"/>
        <scheme val="minor"/>
      </rPr>
      <t xml:space="preserve"> feedback resistors</t>
    </r>
  </si>
  <si>
    <r>
      <t xml:space="preserve">Input: 100Ohm in series 100pF to GND, 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Calibri"/>
        <family val="2"/>
      </rPr>
      <t xml:space="preserve">5.2V by internal power supply </t>
    </r>
  </si>
  <si>
    <t>-5,203 V</t>
  </si>
  <si>
    <t>+5,196 V</t>
  </si>
  <si>
    <t>2,6V + V_in/2 (referenced to GND)</t>
  </si>
  <si>
    <t>2,6V - V_in/2 (referenced to GND)</t>
  </si>
  <si>
    <t>+5,1965 V</t>
  </si>
  <si>
    <t>Measurement with diff amp connected to the LT6203</t>
  </si>
  <si>
    <t>Measurement without diff amp (just LT6203)</t>
  </si>
  <si>
    <t>InP to N</t>
  </si>
  <si>
    <r>
      <t xml:space="preserve">IN P to N </t>
    </r>
    <r>
      <rPr>
        <sz val="6"/>
        <color theme="1"/>
        <rFont val="Calibri"/>
        <family val="2"/>
        <scheme val="minor"/>
      </rPr>
      <t>(after RC)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</si>
</sst>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\ &quot;mV&quot;"/>
    <numFmt numFmtId="166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6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1" xfId="0" applyBorder="1"/>
    <xf numFmtId="2" fontId="0" fillId="0" borderId="2" xfId="0" applyNumberFormat="1" applyFill="1" applyBorder="1"/>
    <xf numFmtId="0" fontId="0" fillId="0" borderId="2" xfId="0" applyBorder="1"/>
    <xf numFmtId="165" fontId="0" fillId="0" borderId="2" xfId="0" applyNumberFormat="1" applyBorder="1"/>
    <xf numFmtId="0" fontId="0" fillId="0" borderId="0" xfId="0" applyFill="1" applyBorder="1"/>
    <xf numFmtId="0" fontId="0" fillId="0" borderId="1" xfId="0" quotePrefix="1" applyBorder="1"/>
    <xf numFmtId="0" fontId="0" fillId="0" borderId="0" xfId="0" quotePrefix="1"/>
    <xf numFmtId="166" fontId="0" fillId="0" borderId="0" xfId="0" applyNumberFormat="1"/>
    <xf numFmtId="166" fontId="0" fillId="0" borderId="2" xfId="0" applyNumberFormat="1" applyFill="1" applyBorder="1"/>
    <xf numFmtId="0" fontId="6" fillId="0" borderId="0" xfId="0" applyFont="1"/>
    <xf numFmtId="0" fontId="0" fillId="3" borderId="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Fill="1" applyBorder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0F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Single-ended to Ground total range -5V to +5V</a:t>
            </a:r>
            <a:endParaRPr lang="de-DE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'Single-ended'!$A$12:$A$52</c:f>
              <c:numCache>
                <c:formatCode>0.00</c:formatCode>
                <c:ptCount val="41"/>
                <c:pt idx="0">
                  <c:v>5</c:v>
                </c:pt>
                <c:pt idx="1">
                  <c:v>4.9000000000000004</c:v>
                </c:pt>
                <c:pt idx="2">
                  <c:v>4.75</c:v>
                </c:pt>
                <c:pt idx="3">
                  <c:v>4.5999999999999996</c:v>
                </c:pt>
                <c:pt idx="4">
                  <c:v>4.5</c:v>
                </c:pt>
                <c:pt idx="5">
                  <c:v>4.4000000000000004</c:v>
                </c:pt>
                <c:pt idx="6">
                  <c:v>4</c:v>
                </c:pt>
                <c:pt idx="7">
                  <c:v>3.75</c:v>
                </c:pt>
                <c:pt idx="8">
                  <c:v>3.5</c:v>
                </c:pt>
                <c:pt idx="9">
                  <c:v>3.25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0.75</c:v>
                </c:pt>
                <c:pt idx="14">
                  <c:v>0.5</c:v>
                </c:pt>
                <c:pt idx="15">
                  <c:v>0.25</c:v>
                </c:pt>
                <c:pt idx="16">
                  <c:v>0.1</c:v>
                </c:pt>
                <c:pt idx="17">
                  <c:v>0.05</c:v>
                </c:pt>
                <c:pt idx="18">
                  <c:v>0.02</c:v>
                </c:pt>
                <c:pt idx="19">
                  <c:v>0.01</c:v>
                </c:pt>
                <c:pt idx="20">
                  <c:v>0</c:v>
                </c:pt>
                <c:pt idx="21">
                  <c:v>-0.01</c:v>
                </c:pt>
                <c:pt idx="22">
                  <c:v>-0.02</c:v>
                </c:pt>
                <c:pt idx="23">
                  <c:v>-0.05</c:v>
                </c:pt>
                <c:pt idx="24">
                  <c:v>-0.1</c:v>
                </c:pt>
                <c:pt idx="25">
                  <c:v>-0.25</c:v>
                </c:pt>
                <c:pt idx="26">
                  <c:v>-0.5</c:v>
                </c:pt>
                <c:pt idx="27">
                  <c:v>-0.75</c:v>
                </c:pt>
                <c:pt idx="28">
                  <c:v>-1</c:v>
                </c:pt>
                <c:pt idx="29">
                  <c:v>-2</c:v>
                </c:pt>
                <c:pt idx="30">
                  <c:v>-3</c:v>
                </c:pt>
                <c:pt idx="31">
                  <c:v>-3.25</c:v>
                </c:pt>
                <c:pt idx="32">
                  <c:v>-3.5</c:v>
                </c:pt>
                <c:pt idx="33">
                  <c:v>-3.75</c:v>
                </c:pt>
                <c:pt idx="34">
                  <c:v>-4</c:v>
                </c:pt>
                <c:pt idx="35">
                  <c:v>-4.4000000000000004</c:v>
                </c:pt>
                <c:pt idx="36">
                  <c:v>-4.5</c:v>
                </c:pt>
                <c:pt idx="37">
                  <c:v>-4.5999999999999996</c:v>
                </c:pt>
                <c:pt idx="38">
                  <c:v>-4.75</c:v>
                </c:pt>
                <c:pt idx="39">
                  <c:v>-4.9000000000000004</c:v>
                </c:pt>
                <c:pt idx="40">
                  <c:v>-5</c:v>
                </c:pt>
              </c:numCache>
            </c:numRef>
          </c:xVal>
          <c:yVal>
            <c:numRef>
              <c:f>'Single-ended'!$B$12:$B$52</c:f>
              <c:numCache>
                <c:formatCode>0.0000</c:formatCode>
                <c:ptCount val="41"/>
                <c:pt idx="0">
                  <c:v>5.0011200000000002</c:v>
                </c:pt>
                <c:pt idx="1">
                  <c:v>4.9009999999999998</c:v>
                </c:pt>
                <c:pt idx="2">
                  <c:v>4.7511999999999999</c:v>
                </c:pt>
                <c:pt idx="3">
                  <c:v>4.60107</c:v>
                </c:pt>
                <c:pt idx="4">
                  <c:v>4.5009499999999996</c:v>
                </c:pt>
                <c:pt idx="5">
                  <c:v>4.4008700000000003</c:v>
                </c:pt>
                <c:pt idx="6">
                  <c:v>3.9998800000000001</c:v>
                </c:pt>
                <c:pt idx="7">
                  <c:v>3.74993</c:v>
                </c:pt>
                <c:pt idx="8">
                  <c:v>3.5000200000000001</c:v>
                </c:pt>
                <c:pt idx="9">
                  <c:v>3.2498</c:v>
                </c:pt>
                <c:pt idx="10">
                  <c:v>2.9998999999999998</c:v>
                </c:pt>
                <c:pt idx="11">
                  <c:v>1.9996</c:v>
                </c:pt>
                <c:pt idx="12">
                  <c:v>0.99965000000000004</c:v>
                </c:pt>
                <c:pt idx="13">
                  <c:v>0.74983999999999995</c:v>
                </c:pt>
                <c:pt idx="14">
                  <c:v>0.49967</c:v>
                </c:pt>
                <c:pt idx="15">
                  <c:v>0.24990000000000001</c:v>
                </c:pt>
                <c:pt idx="16">
                  <c:v>9.98E-2</c:v>
                </c:pt>
                <c:pt idx="17">
                  <c:v>4.9799999999999997E-2</c:v>
                </c:pt>
                <c:pt idx="18">
                  <c:v>1.9900000000000001E-2</c:v>
                </c:pt>
                <c:pt idx="19">
                  <c:v>9.9000000000000008E-3</c:v>
                </c:pt>
                <c:pt idx="20">
                  <c:v>1.8000000000000001E-4</c:v>
                </c:pt>
                <c:pt idx="21">
                  <c:v>-1.038E-2</c:v>
                </c:pt>
                <c:pt idx="22">
                  <c:v>-2.0459999999999999E-2</c:v>
                </c:pt>
                <c:pt idx="23">
                  <c:v>-5.0340000000000003E-2</c:v>
                </c:pt>
                <c:pt idx="24">
                  <c:v>-0.10038</c:v>
                </c:pt>
                <c:pt idx="25">
                  <c:v>-0.25047000000000003</c:v>
                </c:pt>
                <c:pt idx="26">
                  <c:v>-0.50024000000000002</c:v>
                </c:pt>
                <c:pt idx="27">
                  <c:v>-0.75039999999999996</c:v>
                </c:pt>
                <c:pt idx="28">
                  <c:v>-1.0001899999999999</c:v>
                </c:pt>
                <c:pt idx="29">
                  <c:v>-2.0001000000000002</c:v>
                </c:pt>
                <c:pt idx="30">
                  <c:v>-3.0004</c:v>
                </c:pt>
                <c:pt idx="31">
                  <c:v>-3.2503000000000002</c:v>
                </c:pt>
                <c:pt idx="32">
                  <c:v>-3.5005999999999999</c:v>
                </c:pt>
                <c:pt idx="33">
                  <c:v>-3.7504599999999999</c:v>
                </c:pt>
                <c:pt idx="34">
                  <c:v>-4.0003000000000002</c:v>
                </c:pt>
                <c:pt idx="35">
                  <c:v>-4.3997000000000002</c:v>
                </c:pt>
                <c:pt idx="36">
                  <c:v>-4.4997999999999996</c:v>
                </c:pt>
                <c:pt idx="37">
                  <c:v>-4.59992</c:v>
                </c:pt>
                <c:pt idx="38">
                  <c:v>-4.75007</c:v>
                </c:pt>
                <c:pt idx="39">
                  <c:v>-4.8998499999999998</c:v>
                </c:pt>
                <c:pt idx="40">
                  <c:v>-4.9999599999999997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75-4283-BE50-8DC855130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609128"/>
        <c:axId val="227613392"/>
      </c:scatterChart>
      <c:valAx>
        <c:axId val="227609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27613392"/>
        <c:crosses val="autoZero"/>
        <c:crossBetween val="midCat"/>
      </c:valAx>
      <c:valAx>
        <c:axId val="22761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27609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baseline="0">
                <a:effectLst/>
              </a:rPr>
              <a:t>absolute deviation OUT-IN</a:t>
            </a:r>
            <a:endParaRPr lang="de-DE" sz="11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'Single-ended'!$A$12:$A$52</c:f>
              <c:numCache>
                <c:formatCode>0.00</c:formatCode>
                <c:ptCount val="41"/>
                <c:pt idx="0">
                  <c:v>5</c:v>
                </c:pt>
                <c:pt idx="1">
                  <c:v>4.9000000000000004</c:v>
                </c:pt>
                <c:pt idx="2">
                  <c:v>4.75</c:v>
                </c:pt>
                <c:pt idx="3">
                  <c:v>4.5999999999999996</c:v>
                </c:pt>
                <c:pt idx="4">
                  <c:v>4.5</c:v>
                </c:pt>
                <c:pt idx="5">
                  <c:v>4.4000000000000004</c:v>
                </c:pt>
                <c:pt idx="6">
                  <c:v>4</c:v>
                </c:pt>
                <c:pt idx="7">
                  <c:v>3.75</c:v>
                </c:pt>
                <c:pt idx="8">
                  <c:v>3.5</c:v>
                </c:pt>
                <c:pt idx="9">
                  <c:v>3.25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0.75</c:v>
                </c:pt>
                <c:pt idx="14">
                  <c:v>0.5</c:v>
                </c:pt>
                <c:pt idx="15">
                  <c:v>0.25</c:v>
                </c:pt>
                <c:pt idx="16">
                  <c:v>0.1</c:v>
                </c:pt>
                <c:pt idx="17">
                  <c:v>0.05</c:v>
                </c:pt>
                <c:pt idx="18">
                  <c:v>0.02</c:v>
                </c:pt>
                <c:pt idx="19">
                  <c:v>0.01</c:v>
                </c:pt>
                <c:pt idx="20">
                  <c:v>0</c:v>
                </c:pt>
                <c:pt idx="21">
                  <c:v>-0.01</c:v>
                </c:pt>
                <c:pt idx="22">
                  <c:v>-0.02</c:v>
                </c:pt>
                <c:pt idx="23">
                  <c:v>-0.05</c:v>
                </c:pt>
                <c:pt idx="24">
                  <c:v>-0.1</c:v>
                </c:pt>
                <c:pt idx="25">
                  <c:v>-0.25</c:v>
                </c:pt>
                <c:pt idx="26">
                  <c:v>-0.5</c:v>
                </c:pt>
                <c:pt idx="27">
                  <c:v>-0.75</c:v>
                </c:pt>
                <c:pt idx="28">
                  <c:v>-1</c:v>
                </c:pt>
                <c:pt idx="29">
                  <c:v>-2</c:v>
                </c:pt>
                <c:pt idx="30">
                  <c:v>-3</c:v>
                </c:pt>
                <c:pt idx="31">
                  <c:v>-3.25</c:v>
                </c:pt>
                <c:pt idx="32">
                  <c:v>-3.5</c:v>
                </c:pt>
                <c:pt idx="33">
                  <c:v>-3.75</c:v>
                </c:pt>
                <c:pt idx="34">
                  <c:v>-4</c:v>
                </c:pt>
                <c:pt idx="35">
                  <c:v>-4.4000000000000004</c:v>
                </c:pt>
                <c:pt idx="36">
                  <c:v>-4.5</c:v>
                </c:pt>
                <c:pt idx="37">
                  <c:v>-4.5999999999999996</c:v>
                </c:pt>
                <c:pt idx="38">
                  <c:v>-4.75</c:v>
                </c:pt>
                <c:pt idx="39">
                  <c:v>-4.9000000000000004</c:v>
                </c:pt>
                <c:pt idx="40">
                  <c:v>-5</c:v>
                </c:pt>
              </c:numCache>
            </c:numRef>
          </c:cat>
          <c:val>
            <c:numRef>
              <c:f>'Single-ended'!$C$12:$C$52</c:f>
              <c:numCache>
                <c:formatCode>0.00\ "mV"</c:formatCode>
                <c:ptCount val="41"/>
                <c:pt idx="0">
                  <c:v>1.1200000000002319</c:v>
                </c:pt>
                <c:pt idx="1">
                  <c:v>0.99999999999944578</c:v>
                </c:pt>
                <c:pt idx="2">
                  <c:v>1.1999999999998678</c:v>
                </c:pt>
                <c:pt idx="3">
                  <c:v>1.0700000000003485</c:v>
                </c:pt>
                <c:pt idx="4">
                  <c:v>0.94999999999956231</c:v>
                </c:pt>
                <c:pt idx="5">
                  <c:v>0.86999999999992639</c:v>
                </c:pt>
                <c:pt idx="6">
                  <c:v>-0.11999999999989797</c:v>
                </c:pt>
                <c:pt idx="7">
                  <c:v>-7.0000000000014495E-2</c:v>
                </c:pt>
                <c:pt idx="8">
                  <c:v>2.0000000000131024E-2</c:v>
                </c:pt>
                <c:pt idx="9">
                  <c:v>-0.19999999999997797</c:v>
                </c:pt>
                <c:pt idx="10">
                  <c:v>-0.10000000000021103</c:v>
                </c:pt>
                <c:pt idx="11">
                  <c:v>-0.39999999999995595</c:v>
                </c:pt>
                <c:pt idx="12">
                  <c:v>-0.34999999999996145</c:v>
                </c:pt>
                <c:pt idx="13">
                  <c:v>-0.16000000000004899</c:v>
                </c:pt>
                <c:pt idx="14">
                  <c:v>-0.32999999999999696</c:v>
                </c:pt>
                <c:pt idx="15">
                  <c:v>-9.9999999999988987E-2</c:v>
                </c:pt>
                <c:pt idx="16">
                  <c:v>-0.20000000000000573</c:v>
                </c:pt>
                <c:pt idx="17">
                  <c:v>-0.20000000000000573</c:v>
                </c:pt>
                <c:pt idx="18">
                  <c:v>-9.9999999999999395E-2</c:v>
                </c:pt>
                <c:pt idx="19">
                  <c:v>-9.9999999999999395E-2</c:v>
                </c:pt>
                <c:pt idx="20">
                  <c:v>0.18000000000000002</c:v>
                </c:pt>
                <c:pt idx="21">
                  <c:v>-0.38000000000000012</c:v>
                </c:pt>
                <c:pt idx="22">
                  <c:v>-0.45999999999999863</c:v>
                </c:pt>
                <c:pt idx="23">
                  <c:v>-0.34</c:v>
                </c:pt>
                <c:pt idx="24">
                  <c:v>-0.37999999999999146</c:v>
                </c:pt>
                <c:pt idx="25">
                  <c:v>-0.47000000000002595</c:v>
                </c:pt>
                <c:pt idx="26">
                  <c:v>-0.24000000000001798</c:v>
                </c:pt>
                <c:pt idx="27">
                  <c:v>-0.39999999999995595</c:v>
                </c:pt>
                <c:pt idx="28">
                  <c:v>-0.18999999999991246</c:v>
                </c:pt>
                <c:pt idx="29">
                  <c:v>-0.10000000000021103</c:v>
                </c:pt>
                <c:pt idx="30">
                  <c:v>-0.39999999999995595</c:v>
                </c:pt>
                <c:pt idx="31">
                  <c:v>-0.300000000000189</c:v>
                </c:pt>
                <c:pt idx="32">
                  <c:v>-0.59999999999993392</c:v>
                </c:pt>
                <c:pt idx="33">
                  <c:v>-0.45999999999990493</c:v>
                </c:pt>
                <c:pt idx="34">
                  <c:v>-0.300000000000189</c:v>
                </c:pt>
                <c:pt idx="35">
                  <c:v>0.300000000000189</c:v>
                </c:pt>
                <c:pt idx="36">
                  <c:v>0.20000000000042206</c:v>
                </c:pt>
                <c:pt idx="37">
                  <c:v>7.9999999999635918E-2</c:v>
                </c:pt>
                <c:pt idx="38">
                  <c:v>-7.0000000000014495E-2</c:v>
                </c:pt>
                <c:pt idx="39">
                  <c:v>0.15000000000053859</c:v>
                </c:pt>
                <c:pt idx="40">
                  <c:v>4.0000000000262048E-2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10-4656-B00F-9AF32D91D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0485952"/>
        <c:axId val="230486280"/>
      </c:barChart>
      <c:catAx>
        <c:axId val="230485952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30486280"/>
        <c:crosses val="autoZero"/>
        <c:auto val="1"/>
        <c:lblAlgn val="ctr"/>
        <c:lblOffset val="100"/>
        <c:noMultiLvlLbl val="0"/>
      </c:catAx>
      <c:valAx>
        <c:axId val="230486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&quot;mV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30485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Fully differential with 2.5V common mode </a:t>
            </a:r>
            <a:endParaRPr lang="de-DE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'Fully Differential'!$A$12:$A$52</c:f>
              <c:numCache>
                <c:formatCode>0.00</c:formatCode>
                <c:ptCount val="41"/>
                <c:pt idx="0">
                  <c:v>5</c:v>
                </c:pt>
                <c:pt idx="1">
                  <c:v>4.9000000000000004</c:v>
                </c:pt>
                <c:pt idx="2">
                  <c:v>4.75</c:v>
                </c:pt>
                <c:pt idx="3">
                  <c:v>4.5999999999999996</c:v>
                </c:pt>
                <c:pt idx="4">
                  <c:v>4.5</c:v>
                </c:pt>
                <c:pt idx="5">
                  <c:v>4.4000000000000004</c:v>
                </c:pt>
                <c:pt idx="6">
                  <c:v>4</c:v>
                </c:pt>
                <c:pt idx="7">
                  <c:v>3.75</c:v>
                </c:pt>
                <c:pt idx="8">
                  <c:v>3.5</c:v>
                </c:pt>
                <c:pt idx="9">
                  <c:v>3.25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0.75</c:v>
                </c:pt>
                <c:pt idx="14">
                  <c:v>0.5</c:v>
                </c:pt>
                <c:pt idx="15">
                  <c:v>0.25</c:v>
                </c:pt>
                <c:pt idx="16">
                  <c:v>0.1</c:v>
                </c:pt>
                <c:pt idx="17">
                  <c:v>0.05</c:v>
                </c:pt>
                <c:pt idx="18">
                  <c:v>0.02</c:v>
                </c:pt>
                <c:pt idx="19">
                  <c:v>0.01</c:v>
                </c:pt>
                <c:pt idx="20">
                  <c:v>0</c:v>
                </c:pt>
                <c:pt idx="21">
                  <c:v>-0.01</c:v>
                </c:pt>
                <c:pt idx="22">
                  <c:v>-0.02</c:v>
                </c:pt>
                <c:pt idx="23">
                  <c:v>-0.05</c:v>
                </c:pt>
                <c:pt idx="24">
                  <c:v>-0.1</c:v>
                </c:pt>
                <c:pt idx="25">
                  <c:v>-0.25</c:v>
                </c:pt>
                <c:pt idx="26">
                  <c:v>-0.5</c:v>
                </c:pt>
                <c:pt idx="27">
                  <c:v>-0.75</c:v>
                </c:pt>
                <c:pt idx="28">
                  <c:v>-1</c:v>
                </c:pt>
                <c:pt idx="29">
                  <c:v>-2</c:v>
                </c:pt>
                <c:pt idx="30">
                  <c:v>-3</c:v>
                </c:pt>
                <c:pt idx="31">
                  <c:v>-3.25</c:v>
                </c:pt>
                <c:pt idx="32">
                  <c:v>-3.5</c:v>
                </c:pt>
                <c:pt idx="33">
                  <c:v>-3.75</c:v>
                </c:pt>
                <c:pt idx="34">
                  <c:v>-4</c:v>
                </c:pt>
                <c:pt idx="35">
                  <c:v>-4.4000000000000004</c:v>
                </c:pt>
                <c:pt idx="36">
                  <c:v>-4.5</c:v>
                </c:pt>
                <c:pt idx="37">
                  <c:v>-4.5999999999999996</c:v>
                </c:pt>
                <c:pt idx="38">
                  <c:v>-4.75</c:v>
                </c:pt>
                <c:pt idx="39">
                  <c:v>-4.9000000000000004</c:v>
                </c:pt>
                <c:pt idx="40">
                  <c:v>-5</c:v>
                </c:pt>
              </c:numCache>
            </c:numRef>
          </c:xVal>
          <c:yVal>
            <c:numRef>
              <c:f>'Fully Differential'!$B$12:$B$52</c:f>
              <c:numCache>
                <c:formatCode>0.0000</c:formatCode>
                <c:ptCount val="41"/>
                <c:pt idx="0">
                  <c:v>5.0019200000000001</c:v>
                </c:pt>
                <c:pt idx="1">
                  <c:v>4.9017499999999998</c:v>
                </c:pt>
                <c:pt idx="2">
                  <c:v>4.7514599999999998</c:v>
                </c:pt>
                <c:pt idx="3">
                  <c:v>4.6011499999999996</c:v>
                </c:pt>
                <c:pt idx="4">
                  <c:v>4.5025500000000003</c:v>
                </c:pt>
                <c:pt idx="5">
                  <c:v>4.4023599999999998</c:v>
                </c:pt>
                <c:pt idx="6">
                  <c:v>4.0019799999999996</c:v>
                </c:pt>
                <c:pt idx="7">
                  <c:v>3.7514799999999999</c:v>
                </c:pt>
                <c:pt idx="8">
                  <c:v>3.50136</c:v>
                </c:pt>
                <c:pt idx="9">
                  <c:v>3.2523</c:v>
                </c:pt>
                <c:pt idx="10">
                  <c:v>3.0012500000000002</c:v>
                </c:pt>
                <c:pt idx="11">
                  <c:v>2.0009999999999999</c:v>
                </c:pt>
                <c:pt idx="12">
                  <c:v>0.99990999999999997</c:v>
                </c:pt>
                <c:pt idx="13">
                  <c:v>0.751</c:v>
                </c:pt>
                <c:pt idx="14">
                  <c:v>0.50053999999999998</c:v>
                </c:pt>
                <c:pt idx="15">
                  <c:v>0.25040000000000001</c:v>
                </c:pt>
                <c:pt idx="16">
                  <c:v>0.10013</c:v>
                </c:pt>
                <c:pt idx="17">
                  <c:v>5.0040000000000001E-2</c:v>
                </c:pt>
                <c:pt idx="18">
                  <c:v>2.0979999999999999E-2</c:v>
                </c:pt>
                <c:pt idx="19">
                  <c:v>9.4999999999999998E-3</c:v>
                </c:pt>
                <c:pt idx="20">
                  <c:v>5.0000000000000002E-5</c:v>
                </c:pt>
                <c:pt idx="21">
                  <c:v>-9.58E-3</c:v>
                </c:pt>
                <c:pt idx="22">
                  <c:v>-1.951E-2</c:v>
                </c:pt>
                <c:pt idx="23">
                  <c:v>-5.0139999999999997E-2</c:v>
                </c:pt>
                <c:pt idx="24">
                  <c:v>-0.10025000000000001</c:v>
                </c:pt>
                <c:pt idx="25">
                  <c:v>-0.24898999999999999</c:v>
                </c:pt>
                <c:pt idx="26">
                  <c:v>-0.49906</c:v>
                </c:pt>
                <c:pt idx="27">
                  <c:v>-0.74953999999999998</c:v>
                </c:pt>
                <c:pt idx="28">
                  <c:v>-1.00003</c:v>
                </c:pt>
                <c:pt idx="29">
                  <c:v>-2.0001000000000002</c:v>
                </c:pt>
                <c:pt idx="30">
                  <c:v>-2.9998</c:v>
                </c:pt>
                <c:pt idx="31">
                  <c:v>-3.2505999999999999</c:v>
                </c:pt>
                <c:pt idx="32">
                  <c:v>-3.5011999999999999</c:v>
                </c:pt>
                <c:pt idx="33">
                  <c:v>-3.7512300000000001</c:v>
                </c:pt>
                <c:pt idx="34">
                  <c:v>-4</c:v>
                </c:pt>
                <c:pt idx="35">
                  <c:v>-4.4007800000000001</c:v>
                </c:pt>
                <c:pt idx="36">
                  <c:v>-4.5006000000000004</c:v>
                </c:pt>
                <c:pt idx="37">
                  <c:v>-4.6007499999999997</c:v>
                </c:pt>
                <c:pt idx="38">
                  <c:v>-4.7510000000000003</c:v>
                </c:pt>
                <c:pt idx="39">
                  <c:v>-4.9012799999999999</c:v>
                </c:pt>
                <c:pt idx="40">
                  <c:v>-5.0014000000000003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2D-4E63-8EBC-913541F1D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156896"/>
        <c:axId val="283162800"/>
      </c:scatterChart>
      <c:valAx>
        <c:axId val="283156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83162800"/>
        <c:crosses val="autoZero"/>
        <c:crossBetween val="midCat"/>
      </c:valAx>
      <c:valAx>
        <c:axId val="28316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83156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baseline="0">
                <a:effectLst/>
              </a:rPr>
              <a:t>absolute deviation OUT-IN</a:t>
            </a:r>
            <a:endParaRPr lang="de-DE" sz="11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'Fully Differential'!$A$12:$A$52</c:f>
              <c:numCache>
                <c:formatCode>0.00</c:formatCode>
                <c:ptCount val="41"/>
                <c:pt idx="0">
                  <c:v>5</c:v>
                </c:pt>
                <c:pt idx="1">
                  <c:v>4.9000000000000004</c:v>
                </c:pt>
                <c:pt idx="2">
                  <c:v>4.75</c:v>
                </c:pt>
                <c:pt idx="3">
                  <c:v>4.5999999999999996</c:v>
                </c:pt>
                <c:pt idx="4">
                  <c:v>4.5</c:v>
                </c:pt>
                <c:pt idx="5">
                  <c:v>4.4000000000000004</c:v>
                </c:pt>
                <c:pt idx="6">
                  <c:v>4</c:v>
                </c:pt>
                <c:pt idx="7">
                  <c:v>3.75</c:v>
                </c:pt>
                <c:pt idx="8">
                  <c:v>3.5</c:v>
                </c:pt>
                <c:pt idx="9">
                  <c:v>3.25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0.75</c:v>
                </c:pt>
                <c:pt idx="14">
                  <c:v>0.5</c:v>
                </c:pt>
                <c:pt idx="15">
                  <c:v>0.25</c:v>
                </c:pt>
                <c:pt idx="16">
                  <c:v>0.1</c:v>
                </c:pt>
                <c:pt idx="17">
                  <c:v>0.05</c:v>
                </c:pt>
                <c:pt idx="18">
                  <c:v>0.02</c:v>
                </c:pt>
                <c:pt idx="19">
                  <c:v>0.01</c:v>
                </c:pt>
                <c:pt idx="20">
                  <c:v>0</c:v>
                </c:pt>
                <c:pt idx="21">
                  <c:v>-0.01</c:v>
                </c:pt>
                <c:pt idx="22">
                  <c:v>-0.02</c:v>
                </c:pt>
                <c:pt idx="23">
                  <c:v>-0.05</c:v>
                </c:pt>
                <c:pt idx="24">
                  <c:v>-0.1</c:v>
                </c:pt>
                <c:pt idx="25">
                  <c:v>-0.25</c:v>
                </c:pt>
                <c:pt idx="26">
                  <c:v>-0.5</c:v>
                </c:pt>
                <c:pt idx="27">
                  <c:v>-0.75</c:v>
                </c:pt>
                <c:pt idx="28">
                  <c:v>-1</c:v>
                </c:pt>
                <c:pt idx="29">
                  <c:v>-2</c:v>
                </c:pt>
                <c:pt idx="30">
                  <c:v>-3</c:v>
                </c:pt>
                <c:pt idx="31">
                  <c:v>-3.25</c:v>
                </c:pt>
                <c:pt idx="32">
                  <c:v>-3.5</c:v>
                </c:pt>
                <c:pt idx="33">
                  <c:v>-3.75</c:v>
                </c:pt>
                <c:pt idx="34">
                  <c:v>-4</c:v>
                </c:pt>
                <c:pt idx="35">
                  <c:v>-4.4000000000000004</c:v>
                </c:pt>
                <c:pt idx="36">
                  <c:v>-4.5</c:v>
                </c:pt>
                <c:pt idx="37">
                  <c:v>-4.5999999999999996</c:v>
                </c:pt>
                <c:pt idx="38">
                  <c:v>-4.75</c:v>
                </c:pt>
                <c:pt idx="39">
                  <c:v>-4.9000000000000004</c:v>
                </c:pt>
                <c:pt idx="40">
                  <c:v>-5</c:v>
                </c:pt>
              </c:numCache>
            </c:numRef>
          </c:cat>
          <c:val>
            <c:numRef>
              <c:f>'Fully Differential'!$C$12:$C$52</c:f>
              <c:numCache>
                <c:formatCode>0.00\ "mV"</c:formatCode>
                <c:ptCount val="41"/>
                <c:pt idx="0">
                  <c:v>1.9200000000001438</c:v>
                </c:pt>
                <c:pt idx="1">
                  <c:v>1.7499999999994742</c:v>
                </c:pt>
                <c:pt idx="2">
                  <c:v>1.4599999999997948</c:v>
                </c:pt>
                <c:pt idx="3">
                  <c:v>1.1499999999999844</c:v>
                </c:pt>
                <c:pt idx="4">
                  <c:v>2.5500000000002743</c:v>
                </c:pt>
                <c:pt idx="5">
                  <c:v>2.3599999999994736</c:v>
                </c:pt>
                <c:pt idx="6">
                  <c:v>1.9799999999996487</c:v>
                </c:pt>
                <c:pt idx="7">
                  <c:v>1.4799999999999258</c:v>
                </c:pt>
                <c:pt idx="8">
                  <c:v>1.3600000000000279</c:v>
                </c:pt>
                <c:pt idx="9">
                  <c:v>2.2999999999999687</c:v>
                </c:pt>
                <c:pt idx="10">
                  <c:v>1.2500000000001954</c:v>
                </c:pt>
                <c:pt idx="11">
                  <c:v>0.99999999999988987</c:v>
                </c:pt>
                <c:pt idx="12">
                  <c:v>-9.0000000000034497E-2</c:v>
                </c:pt>
                <c:pt idx="13">
                  <c:v>1.0000000000000009</c:v>
                </c:pt>
                <c:pt idx="14">
                  <c:v>0.53999999999998494</c:v>
                </c:pt>
                <c:pt idx="15">
                  <c:v>0.40000000000001146</c:v>
                </c:pt>
                <c:pt idx="16">
                  <c:v>0.12999999999999123</c:v>
                </c:pt>
                <c:pt idx="17">
                  <c:v>3.999999999999837E-2</c:v>
                </c:pt>
                <c:pt idx="18">
                  <c:v>0.97999999999999821</c:v>
                </c:pt>
                <c:pt idx="19">
                  <c:v>-0.50000000000000044</c:v>
                </c:pt>
                <c:pt idx="20">
                  <c:v>0.05</c:v>
                </c:pt>
                <c:pt idx="21">
                  <c:v>0.42000000000000026</c:v>
                </c:pt>
                <c:pt idx="22">
                  <c:v>0.49000000000000088</c:v>
                </c:pt>
                <c:pt idx="23">
                  <c:v>-0.1399999999999943</c:v>
                </c:pt>
                <c:pt idx="24">
                  <c:v>-0.25000000000000022</c:v>
                </c:pt>
                <c:pt idx="25">
                  <c:v>1.0100000000000109</c:v>
                </c:pt>
                <c:pt idx="26">
                  <c:v>0.93999999999999639</c:v>
                </c:pt>
                <c:pt idx="27">
                  <c:v>0.46000000000001595</c:v>
                </c:pt>
                <c:pt idx="28">
                  <c:v>-2.9999999999974492E-2</c:v>
                </c:pt>
                <c:pt idx="29">
                  <c:v>-0.10000000000021103</c:v>
                </c:pt>
                <c:pt idx="30">
                  <c:v>0.19999999999997797</c:v>
                </c:pt>
                <c:pt idx="31">
                  <c:v>-0.59999999999993392</c:v>
                </c:pt>
                <c:pt idx="32">
                  <c:v>-1.1999999999998678</c:v>
                </c:pt>
                <c:pt idx="33">
                  <c:v>-1.2300000000000644</c:v>
                </c:pt>
                <c:pt idx="34">
                  <c:v>0</c:v>
                </c:pt>
                <c:pt idx="35">
                  <c:v>-0.77999999999978087</c:v>
                </c:pt>
                <c:pt idx="36">
                  <c:v>-0.60000000000037801</c:v>
                </c:pt>
                <c:pt idx="37">
                  <c:v>-0.75000000000002842</c:v>
                </c:pt>
                <c:pt idx="38">
                  <c:v>-1.000000000000334</c:v>
                </c:pt>
                <c:pt idx="39">
                  <c:v>-1.2799999999995038</c:v>
                </c:pt>
                <c:pt idx="40">
                  <c:v>-1.4000000000002899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F2-4B4C-BE5A-DE2CEA09A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371568"/>
        <c:axId val="61371896"/>
      </c:barChart>
      <c:catAx>
        <c:axId val="61371568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1371896"/>
        <c:crosses val="autoZero"/>
        <c:auto val="1"/>
        <c:lblAlgn val="ctr"/>
        <c:lblOffset val="100"/>
        <c:noMultiLvlLbl val="0"/>
      </c:catAx>
      <c:valAx>
        <c:axId val="61371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&quot;mV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1371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169</xdr:colOff>
      <xdr:row>7</xdr:row>
      <xdr:rowOff>1990</xdr:rowOff>
    </xdr:from>
    <xdr:to>
      <xdr:col>21</xdr:col>
      <xdr:colOff>785960</xdr:colOff>
      <xdr:row>27</xdr:row>
      <xdr:rowOff>175166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BA9FDE8F-4899-414E-9A0F-C3EC4F74F7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580</xdr:colOff>
      <xdr:row>29</xdr:row>
      <xdr:rowOff>3136</xdr:rowOff>
    </xdr:from>
    <xdr:to>
      <xdr:col>19</xdr:col>
      <xdr:colOff>791935</xdr:colOff>
      <xdr:row>44</xdr:row>
      <xdr:rowOff>183697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BDA23F80-02E3-4A23-A779-692B85619A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3663</xdr:colOff>
      <xdr:row>7</xdr:row>
      <xdr:rowOff>4762</xdr:rowOff>
    </xdr:from>
    <xdr:to>
      <xdr:col>24</xdr:col>
      <xdr:colOff>0</xdr:colOff>
      <xdr:row>28</xdr:row>
      <xdr:rowOff>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69AB6E7C-D5CA-49A3-A996-28AE0E1F04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787852</xdr:colOff>
      <xdr:row>29</xdr:row>
      <xdr:rowOff>3402</xdr:rowOff>
    </xdr:from>
    <xdr:to>
      <xdr:col>21</xdr:col>
      <xdr:colOff>786492</xdr:colOff>
      <xdr:row>45</xdr:row>
      <xdr:rowOff>5443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BAC00F00-8D3A-4800-8E6D-370ECB83B3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C6574-8C9B-4754-AD58-B3B86AFA5838}">
  <dimension ref="A1:M54"/>
  <sheetViews>
    <sheetView tabSelected="1" zoomScale="80" zoomScaleNormal="80" workbookViewId="0">
      <selection activeCell="M15" sqref="M15"/>
    </sheetView>
  </sheetViews>
  <sheetFormatPr baseColWidth="10" defaultRowHeight="14.4" x14ac:dyDescent="0.3"/>
  <cols>
    <col min="3" max="12" width="13.77734375" customWidth="1"/>
  </cols>
  <sheetData>
    <row r="1" spans="1:13" x14ac:dyDescent="0.3">
      <c r="A1" s="5" t="s">
        <v>5</v>
      </c>
      <c r="B1" s="5"/>
      <c r="C1" s="5"/>
      <c r="D1" s="5"/>
      <c r="E1" s="5"/>
      <c r="G1" s="6" t="s">
        <v>6</v>
      </c>
      <c r="H1" s="11" t="s">
        <v>17</v>
      </c>
    </row>
    <row r="2" spans="1:13" x14ac:dyDescent="0.3">
      <c r="A2" s="5" t="s">
        <v>15</v>
      </c>
      <c r="B2" s="5"/>
      <c r="C2" s="5"/>
      <c r="D2" s="5"/>
      <c r="E2" s="5"/>
      <c r="G2" s="6" t="s">
        <v>7</v>
      </c>
      <c r="H2" s="11" t="s">
        <v>16</v>
      </c>
      <c r="I2" s="12" t="s">
        <v>8</v>
      </c>
      <c r="M2" t="s">
        <v>12</v>
      </c>
    </row>
    <row r="4" spans="1:13" x14ac:dyDescent="0.3">
      <c r="A4" s="6" t="s">
        <v>0</v>
      </c>
      <c r="B4" s="6" t="s">
        <v>0</v>
      </c>
    </row>
    <row r="5" spans="1:13" x14ac:dyDescent="0.3">
      <c r="A5" s="6" t="s">
        <v>1</v>
      </c>
      <c r="B5" s="6" t="s">
        <v>3</v>
      </c>
    </row>
    <row r="8" spans="1:13" x14ac:dyDescent="0.3">
      <c r="A8" s="16" t="s">
        <v>21</v>
      </c>
      <c r="B8" s="16"/>
      <c r="C8" s="16"/>
      <c r="D8" s="16"/>
      <c r="E8" s="16"/>
      <c r="F8" s="16"/>
      <c r="H8" s="16" t="s">
        <v>22</v>
      </c>
      <c r="I8" s="16"/>
      <c r="J8" s="16"/>
      <c r="K8" s="16"/>
      <c r="L8" s="16"/>
    </row>
    <row r="9" spans="1:13" x14ac:dyDescent="0.3">
      <c r="A9" s="4" t="s">
        <v>0</v>
      </c>
      <c r="B9" s="4" t="s">
        <v>2</v>
      </c>
      <c r="C9" s="4" t="s">
        <v>4</v>
      </c>
      <c r="D9" s="4" t="s">
        <v>9</v>
      </c>
      <c r="E9" s="4" t="s">
        <v>10</v>
      </c>
      <c r="F9" s="4" t="s">
        <v>11</v>
      </c>
      <c r="H9" s="4" t="s">
        <v>0</v>
      </c>
      <c r="I9" s="4" t="s">
        <v>9</v>
      </c>
      <c r="J9" s="4" t="s">
        <v>10</v>
      </c>
      <c r="K9" s="4" t="s">
        <v>11</v>
      </c>
      <c r="L9" s="4" t="s">
        <v>24</v>
      </c>
    </row>
    <row r="10" spans="1:13" x14ac:dyDescent="0.3">
      <c r="A10" s="1">
        <v>5.2</v>
      </c>
      <c r="B10">
        <v>5.1421400000000004</v>
      </c>
      <c r="C10" s="3">
        <f t="shared" ref="C10:C54" si="0" xml:space="preserve"> PRODUCT(B10-A10, 1000)</f>
        <v>-57.8599999999998</v>
      </c>
      <c r="D10">
        <v>5.1856</v>
      </c>
      <c r="E10">
        <v>8.0099999999999995E-4</v>
      </c>
      <c r="F10">
        <v>5.1848000000000001</v>
      </c>
      <c r="H10" s="1">
        <v>5.2</v>
      </c>
      <c r="I10">
        <v>5.1909000000000001</v>
      </c>
      <c r="J10">
        <v>8.0199999999999998E-4</v>
      </c>
      <c r="K10">
        <v>5.19</v>
      </c>
      <c r="L10">
        <v>5.1997</v>
      </c>
    </row>
    <row r="11" spans="1:13" x14ac:dyDescent="0.3">
      <c r="A11" s="1">
        <v>5.0999999999999996</v>
      </c>
      <c r="B11">
        <v>5.1009700000000002</v>
      </c>
      <c r="C11" s="3">
        <f t="shared" si="0"/>
        <v>0.97000000000058151</v>
      </c>
      <c r="D11">
        <v>5.1021999999999998</v>
      </c>
      <c r="E11">
        <v>8.0199999999999998E-4</v>
      </c>
      <c r="F11">
        <v>5.1013999999999999</v>
      </c>
      <c r="H11" s="1">
        <v>5.0999999999999996</v>
      </c>
      <c r="I11">
        <v>5.1021999999999998</v>
      </c>
      <c r="J11">
        <v>8.0000000000000004E-4</v>
      </c>
      <c r="K11">
        <v>5.1013999999999999</v>
      </c>
      <c r="L11">
        <v>5.0999999999999996</v>
      </c>
    </row>
    <row r="12" spans="1:13" x14ac:dyDescent="0.3">
      <c r="A12" s="1">
        <v>5</v>
      </c>
      <c r="B12" s="13">
        <v>5.0011200000000002</v>
      </c>
      <c r="C12" s="3">
        <f t="shared" si="0"/>
        <v>1.1200000000002319</v>
      </c>
      <c r="D12">
        <v>5.0021000000000004</v>
      </c>
      <c r="E12">
        <v>8.03E-4</v>
      </c>
      <c r="F12">
        <v>5.0012999999999996</v>
      </c>
      <c r="H12" s="1">
        <v>5</v>
      </c>
      <c r="I12">
        <v>5.0021000000000004</v>
      </c>
      <c r="J12">
        <v>8.0000000000000004E-4</v>
      </c>
      <c r="K12">
        <v>5.0012999999999996</v>
      </c>
      <c r="L12">
        <v>4.9999000000000002</v>
      </c>
    </row>
    <row r="13" spans="1:13" x14ac:dyDescent="0.3">
      <c r="A13" s="1">
        <v>4.9000000000000004</v>
      </c>
      <c r="B13" s="13">
        <v>4.9009999999999998</v>
      </c>
      <c r="C13" s="3">
        <f t="shared" si="0"/>
        <v>0.99999999999944578</v>
      </c>
      <c r="D13">
        <v>4.9020000000000001</v>
      </c>
      <c r="E13">
        <v>8.0400000000000003E-4</v>
      </c>
      <c r="F13">
        <v>4.9012000000000002</v>
      </c>
      <c r="H13" s="1">
        <v>4.9000000000000004</v>
      </c>
      <c r="I13">
        <v>4.9020000000000001</v>
      </c>
      <c r="J13">
        <v>8.0000000000000004E-4</v>
      </c>
      <c r="K13">
        <v>4.9012000000000002</v>
      </c>
      <c r="L13">
        <v>4.8997999999999999</v>
      </c>
    </row>
    <row r="14" spans="1:13" x14ac:dyDescent="0.3">
      <c r="A14" s="1">
        <v>4.75</v>
      </c>
      <c r="B14" s="13">
        <v>4.7511999999999999</v>
      </c>
      <c r="C14" s="3">
        <f t="shared" si="0"/>
        <v>1.1999999999998678</v>
      </c>
      <c r="D14">
        <v>4.7522000000000002</v>
      </c>
      <c r="E14">
        <v>8.03E-4</v>
      </c>
      <c r="F14">
        <v>4.7514000000000003</v>
      </c>
      <c r="H14" s="1">
        <v>4.75</v>
      </c>
      <c r="I14">
        <v>4.7522000000000002</v>
      </c>
      <c r="J14">
        <v>8.0000000000000004E-4</v>
      </c>
      <c r="K14">
        <v>4.7514000000000003</v>
      </c>
      <c r="L14">
        <v>4.75</v>
      </c>
    </row>
    <row r="15" spans="1:13" x14ac:dyDescent="0.3">
      <c r="A15" s="1">
        <v>4.5999999999999996</v>
      </c>
      <c r="B15" s="13">
        <v>4.60107</v>
      </c>
      <c r="C15" s="3">
        <f t="shared" si="0"/>
        <v>1.0700000000003485</v>
      </c>
      <c r="D15">
        <v>4.6020000000000003</v>
      </c>
      <c r="E15">
        <v>8.03E-4</v>
      </c>
      <c r="F15">
        <v>4.6013000000000002</v>
      </c>
      <c r="H15" s="1">
        <v>4.5999999999999996</v>
      </c>
      <c r="I15">
        <v>4.6021000000000001</v>
      </c>
      <c r="J15">
        <v>8.0000000000000004E-4</v>
      </c>
      <c r="K15">
        <v>4.6013000000000002</v>
      </c>
      <c r="L15">
        <v>4.5998999999999999</v>
      </c>
    </row>
    <row r="16" spans="1:13" x14ac:dyDescent="0.3">
      <c r="A16" s="1">
        <v>4.5</v>
      </c>
      <c r="B16" s="13">
        <v>4.5009499999999996</v>
      </c>
      <c r="C16" s="3">
        <f t="shared" si="0"/>
        <v>0.94999999999956231</v>
      </c>
      <c r="D16">
        <v>4.5019</v>
      </c>
      <c r="E16">
        <v>8.0099999999999995E-4</v>
      </c>
      <c r="F16">
        <v>4.5019999999999998</v>
      </c>
      <c r="H16" s="1">
        <v>4.5</v>
      </c>
      <c r="I16">
        <v>4.5019999999999998</v>
      </c>
      <c r="J16">
        <v>8.0000000000000004E-4</v>
      </c>
      <c r="K16">
        <v>4.5011999999999999</v>
      </c>
      <c r="L16">
        <v>4.4997999999999996</v>
      </c>
    </row>
    <row r="17" spans="1:12" x14ac:dyDescent="0.3">
      <c r="A17" s="1">
        <v>4.4000000000000004</v>
      </c>
      <c r="B17" s="13">
        <v>4.4008700000000003</v>
      </c>
      <c r="C17" s="3">
        <f t="shared" si="0"/>
        <v>0.86999999999992639</v>
      </c>
      <c r="D17">
        <v>4.4017999999999997</v>
      </c>
      <c r="E17">
        <v>8.0199999999999998E-4</v>
      </c>
      <c r="F17">
        <v>4.4009999999999998</v>
      </c>
      <c r="H17" s="1">
        <v>4.4000000000000004</v>
      </c>
      <c r="I17">
        <v>4.4019000000000004</v>
      </c>
      <c r="J17">
        <v>8.0000000000000004E-4</v>
      </c>
      <c r="K17">
        <v>4.4010999999999996</v>
      </c>
      <c r="L17">
        <v>4.3997000000000002</v>
      </c>
    </row>
    <row r="18" spans="1:12" x14ac:dyDescent="0.3">
      <c r="A18" s="1">
        <v>4</v>
      </c>
      <c r="B18" s="13">
        <v>3.9998800000000001</v>
      </c>
      <c r="C18" s="3">
        <f t="shared" si="0"/>
        <v>-0.11999999999989797</v>
      </c>
      <c r="D18">
        <v>4.0008999999999997</v>
      </c>
      <c r="E18">
        <v>8.0199999999999998E-4</v>
      </c>
      <c r="F18">
        <v>4.0008999999999997</v>
      </c>
      <c r="H18" s="1">
        <v>4</v>
      </c>
      <c r="I18">
        <v>4.0008999999999997</v>
      </c>
      <c r="J18">
        <v>8.0500000000000005E-4</v>
      </c>
      <c r="K18">
        <v>4.0000999999999998</v>
      </c>
      <c r="L18">
        <v>3.9998</v>
      </c>
    </row>
    <row r="19" spans="1:12" x14ac:dyDescent="0.3">
      <c r="A19" s="1">
        <v>3.75</v>
      </c>
      <c r="B19" s="13">
        <v>3.74993</v>
      </c>
      <c r="C19" s="3">
        <f t="shared" si="0"/>
        <v>-7.0000000000014495E-2</v>
      </c>
      <c r="D19">
        <v>3.7509000000000001</v>
      </c>
      <c r="E19">
        <v>8.0000000000000004E-4</v>
      </c>
      <c r="F19">
        <v>3.7501000000000002</v>
      </c>
      <c r="H19" s="1">
        <v>3.75</v>
      </c>
      <c r="I19">
        <v>3.7509000000000001</v>
      </c>
      <c r="J19">
        <v>8.0099999999999995E-4</v>
      </c>
      <c r="K19">
        <v>3.7501000000000002</v>
      </c>
      <c r="L19">
        <v>3.75</v>
      </c>
    </row>
    <row r="20" spans="1:12" x14ac:dyDescent="0.3">
      <c r="A20" s="1">
        <v>3.5</v>
      </c>
      <c r="B20" s="13">
        <v>3.5000200000000001</v>
      </c>
      <c r="C20" s="3">
        <f t="shared" si="0"/>
        <v>2.0000000000131024E-2</v>
      </c>
      <c r="D20">
        <v>3.5009999999999999</v>
      </c>
      <c r="E20">
        <v>7.9900000000000001E-4</v>
      </c>
      <c r="F20">
        <v>3.5003000000000002</v>
      </c>
      <c r="H20" s="1">
        <v>3.5</v>
      </c>
      <c r="I20">
        <v>3.5011000000000001</v>
      </c>
      <c r="J20">
        <v>8.0099999999999995E-4</v>
      </c>
      <c r="K20">
        <v>3.5003000000000002</v>
      </c>
      <c r="L20">
        <v>3.5001000000000002</v>
      </c>
    </row>
    <row r="21" spans="1:12" x14ac:dyDescent="0.3">
      <c r="A21" s="1">
        <v>3.25</v>
      </c>
      <c r="B21" s="13">
        <v>3.2498</v>
      </c>
      <c r="C21" s="3">
        <f t="shared" si="0"/>
        <v>-0.19999999999997797</v>
      </c>
      <c r="D21">
        <v>3.2507999999999999</v>
      </c>
      <c r="E21">
        <v>7.9900000000000001E-4</v>
      </c>
      <c r="F21">
        <v>3.25</v>
      </c>
      <c r="H21" s="1">
        <v>3.25</v>
      </c>
      <c r="I21">
        <v>3.2507999999999999</v>
      </c>
      <c r="J21">
        <v>8.0099999999999995E-4</v>
      </c>
      <c r="K21">
        <v>3.25</v>
      </c>
      <c r="L21">
        <v>3.2498999999999998</v>
      </c>
    </row>
    <row r="22" spans="1:12" x14ac:dyDescent="0.3">
      <c r="A22" s="1">
        <v>3</v>
      </c>
      <c r="B22" s="13">
        <v>2.9998999999999998</v>
      </c>
      <c r="C22" s="3">
        <f t="shared" si="0"/>
        <v>-0.10000000000021103</v>
      </c>
      <c r="D22">
        <v>3.0009000000000001</v>
      </c>
      <c r="E22">
        <v>7.9799999999999999E-4</v>
      </c>
      <c r="F22">
        <v>3.0001000000000002</v>
      </c>
      <c r="H22" s="1">
        <v>3</v>
      </c>
      <c r="I22">
        <v>3.0009000000000001</v>
      </c>
      <c r="J22">
        <v>8.0000000000000004E-4</v>
      </c>
      <c r="K22">
        <v>3.0001000000000002</v>
      </c>
      <c r="L22">
        <v>3</v>
      </c>
    </row>
    <row r="23" spans="1:12" x14ac:dyDescent="0.3">
      <c r="A23" s="1">
        <v>2</v>
      </c>
      <c r="B23" s="13">
        <v>1.9996</v>
      </c>
      <c r="C23" s="3">
        <f t="shared" si="0"/>
        <v>-0.39999999999995595</v>
      </c>
      <c r="D23">
        <v>2.0005999999999999</v>
      </c>
      <c r="E23">
        <v>7.9500000000000003E-4</v>
      </c>
      <c r="F23">
        <v>1.9998</v>
      </c>
      <c r="H23" s="1">
        <v>2</v>
      </c>
      <c r="I23">
        <v>2.0005999999999999</v>
      </c>
      <c r="J23">
        <v>8.0000000000000004E-4</v>
      </c>
      <c r="K23">
        <v>1.9998</v>
      </c>
      <c r="L23">
        <v>1.9997</v>
      </c>
    </row>
    <row r="24" spans="1:12" x14ac:dyDescent="0.3">
      <c r="A24" s="1">
        <v>1</v>
      </c>
      <c r="B24" s="13">
        <v>0.99965000000000004</v>
      </c>
      <c r="C24" s="3">
        <f t="shared" si="0"/>
        <v>-0.34999999999996145</v>
      </c>
      <c r="D24">
        <v>1.00075</v>
      </c>
      <c r="E24">
        <v>7.9100000000000004E-4</v>
      </c>
      <c r="F24">
        <v>0.99992999999999999</v>
      </c>
      <c r="H24" s="1">
        <v>1</v>
      </c>
      <c r="I24">
        <v>1.0007600000000001</v>
      </c>
      <c r="J24">
        <v>7.9799999999999999E-4</v>
      </c>
      <c r="K24">
        <v>0.99997000000000003</v>
      </c>
      <c r="L24">
        <v>0.99987000000000004</v>
      </c>
    </row>
    <row r="25" spans="1:12" x14ac:dyDescent="0.3">
      <c r="A25" s="1">
        <v>0.75</v>
      </c>
      <c r="B25" s="13">
        <v>0.74983999999999995</v>
      </c>
      <c r="C25" s="3">
        <f t="shared" si="0"/>
        <v>-0.16000000000004899</v>
      </c>
      <c r="D25">
        <v>0.75095000000000001</v>
      </c>
      <c r="E25">
        <v>7.9000000000000001E-4</v>
      </c>
      <c r="F25">
        <v>0.75014000000000003</v>
      </c>
      <c r="H25" s="1">
        <v>0.75</v>
      </c>
      <c r="I25">
        <v>0.75097999999999998</v>
      </c>
      <c r="J25">
        <v>7.9900000000000001E-4</v>
      </c>
      <c r="K25">
        <v>0.75017999999999996</v>
      </c>
      <c r="L25">
        <v>0.75009000000000003</v>
      </c>
    </row>
    <row r="26" spans="1:12" x14ac:dyDescent="0.3">
      <c r="A26" s="1">
        <v>0.5</v>
      </c>
      <c r="B26" s="13">
        <v>0.49967</v>
      </c>
      <c r="C26" s="3">
        <f t="shared" si="0"/>
        <v>-0.32999999999999696</v>
      </c>
      <c r="D26">
        <v>0.50080000000000002</v>
      </c>
      <c r="E26">
        <v>7.94E-4</v>
      </c>
      <c r="F26">
        <v>0.5</v>
      </c>
      <c r="H26" s="1">
        <v>0.5</v>
      </c>
      <c r="I26">
        <v>0.50083</v>
      </c>
      <c r="J26">
        <v>7.9900000000000001E-4</v>
      </c>
      <c r="K26">
        <v>0.5</v>
      </c>
      <c r="L26">
        <v>0.49994</v>
      </c>
    </row>
    <row r="27" spans="1:12" x14ac:dyDescent="0.3">
      <c r="A27" s="1">
        <v>0.25</v>
      </c>
      <c r="B27" s="13">
        <v>0.24990000000000001</v>
      </c>
      <c r="C27" s="3">
        <f t="shared" si="0"/>
        <v>-9.9999999999988987E-2</v>
      </c>
      <c r="D27">
        <v>0.25102999999999998</v>
      </c>
      <c r="E27">
        <v>7.9299999999999998E-4</v>
      </c>
      <c r="F27">
        <v>0.25023000000000001</v>
      </c>
      <c r="H27" s="1">
        <v>0.25</v>
      </c>
      <c r="I27">
        <v>0.25106000000000001</v>
      </c>
      <c r="J27">
        <v>7.9900000000000001E-4</v>
      </c>
      <c r="K27">
        <v>0.25025999999999998</v>
      </c>
      <c r="L27">
        <v>0.25018000000000001</v>
      </c>
    </row>
    <row r="28" spans="1:12" x14ac:dyDescent="0.3">
      <c r="A28" s="1">
        <v>0.1</v>
      </c>
      <c r="B28" s="13">
        <v>9.98E-2</v>
      </c>
      <c r="C28" s="3">
        <f t="shared" si="0"/>
        <v>-0.20000000000000573</v>
      </c>
      <c r="D28">
        <v>0.10094</v>
      </c>
      <c r="E28">
        <v>7.94E-4</v>
      </c>
      <c r="F28">
        <v>0.10015</v>
      </c>
      <c r="H28" s="1">
        <v>0.1</v>
      </c>
      <c r="I28">
        <v>0.10095999999999999</v>
      </c>
      <c r="J28">
        <v>7.9799999999999999E-4</v>
      </c>
      <c r="K28">
        <v>0.10017</v>
      </c>
      <c r="L28">
        <v>0.10009999999999999</v>
      </c>
    </row>
    <row r="29" spans="1:12" x14ac:dyDescent="0.3">
      <c r="A29" s="1">
        <v>0.05</v>
      </c>
      <c r="B29" s="13">
        <v>4.9799999999999997E-2</v>
      </c>
      <c r="C29" s="3">
        <f t="shared" si="0"/>
        <v>-0.20000000000000573</v>
      </c>
      <c r="D29">
        <v>5.0930000000000003E-2</v>
      </c>
      <c r="E29">
        <v>7.9900000000000001E-4</v>
      </c>
      <c r="F29">
        <v>5.0139999999999997E-2</v>
      </c>
      <c r="H29" s="1">
        <v>0.05</v>
      </c>
      <c r="I29">
        <v>5.0930000000000003E-2</v>
      </c>
      <c r="J29">
        <v>7.9799999999999999E-4</v>
      </c>
      <c r="K29">
        <v>5.0134999999999999E-2</v>
      </c>
      <c r="L29">
        <v>5.006E-2</v>
      </c>
    </row>
    <row r="30" spans="1:12" x14ac:dyDescent="0.3">
      <c r="A30" s="1">
        <v>0.02</v>
      </c>
      <c r="B30" s="13">
        <v>1.9900000000000001E-2</v>
      </c>
      <c r="C30" s="3">
        <f t="shared" si="0"/>
        <v>-9.9999999999999395E-2</v>
      </c>
      <c r="D30">
        <v>2.1059999999999999E-2</v>
      </c>
      <c r="E30">
        <v>7.9900000000000001E-4</v>
      </c>
      <c r="F30">
        <v>2.026E-2</v>
      </c>
      <c r="H30" s="1">
        <v>0.02</v>
      </c>
      <c r="I30">
        <v>2.1059999999999999E-2</v>
      </c>
      <c r="J30">
        <v>7.9699999999999997E-4</v>
      </c>
      <c r="K30">
        <v>2.0264999999999998E-2</v>
      </c>
      <c r="L30">
        <v>2.019E-2</v>
      </c>
    </row>
    <row r="31" spans="1:12" x14ac:dyDescent="0.3">
      <c r="A31" s="1">
        <v>0.01</v>
      </c>
      <c r="B31" s="13">
        <v>9.9000000000000008E-3</v>
      </c>
      <c r="C31" s="3">
        <f t="shared" si="0"/>
        <v>-9.9999999999999395E-2</v>
      </c>
      <c r="D31">
        <v>1.099E-2</v>
      </c>
      <c r="E31">
        <v>8.0000000000000004E-4</v>
      </c>
      <c r="F31">
        <v>1.018E-2</v>
      </c>
      <c r="H31" s="1">
        <v>0.01</v>
      </c>
      <c r="I31">
        <v>1.098E-2</v>
      </c>
      <c r="J31">
        <v>7.9600000000000005E-4</v>
      </c>
      <c r="K31">
        <v>1.018E-2</v>
      </c>
      <c r="L31">
        <v>0.1011</v>
      </c>
    </row>
    <row r="32" spans="1:12" x14ac:dyDescent="0.3">
      <c r="A32" s="7">
        <v>0</v>
      </c>
      <c r="B32" s="14">
        <v>1.8000000000000001E-4</v>
      </c>
      <c r="C32" s="9">
        <f t="shared" si="0"/>
        <v>0.18000000000000002</v>
      </c>
      <c r="D32" s="8">
        <v>1.2800000000000001E-3</v>
      </c>
      <c r="E32" s="8">
        <v>7.9900000000000001E-4</v>
      </c>
      <c r="F32" s="8">
        <v>4.7199999999999998E-4</v>
      </c>
      <c r="H32" s="7">
        <v>0</v>
      </c>
      <c r="I32" s="8">
        <v>1.268E-3</v>
      </c>
      <c r="J32" s="8">
        <v>7.9299999999999998E-4</v>
      </c>
      <c r="K32" s="8">
        <v>4.7699999999999999E-4</v>
      </c>
      <c r="L32" s="18">
        <v>4.0000000000000002E-4</v>
      </c>
    </row>
    <row r="33" spans="1:12" x14ac:dyDescent="0.3">
      <c r="A33" s="1">
        <v>-0.01</v>
      </c>
      <c r="B33" s="13">
        <v>-1.038E-2</v>
      </c>
      <c r="C33" s="3">
        <f t="shared" si="0"/>
        <v>-0.38000000000000012</v>
      </c>
      <c r="D33">
        <v>-9.2499999999999995E-3</v>
      </c>
      <c r="E33" s="10">
        <v>7.9900000000000001E-4</v>
      </c>
      <c r="F33">
        <v>-1.0047E-2</v>
      </c>
      <c r="H33" s="1">
        <v>-0.01</v>
      </c>
      <c r="I33">
        <v>-9.2200000000000008E-3</v>
      </c>
      <c r="J33" s="10">
        <v>7.8700000000000005E-4</v>
      </c>
      <c r="K33">
        <v>-1.001E-2</v>
      </c>
      <c r="L33" s="10">
        <v>-1.009E-2</v>
      </c>
    </row>
    <row r="34" spans="1:12" x14ac:dyDescent="0.3">
      <c r="A34" s="1">
        <v>-0.02</v>
      </c>
      <c r="B34" s="13">
        <v>-2.0459999999999999E-2</v>
      </c>
      <c r="C34" s="3">
        <f t="shared" si="0"/>
        <v>-0.45999999999999863</v>
      </c>
      <c r="D34">
        <v>-1.9324999999999998E-2</v>
      </c>
      <c r="E34">
        <v>8.03E-4</v>
      </c>
      <c r="F34">
        <v>-2.0129999999999999E-2</v>
      </c>
      <c r="H34" s="1">
        <v>-0.02</v>
      </c>
      <c r="I34">
        <v>-1.9297999999999999E-2</v>
      </c>
      <c r="J34">
        <v>7.9000000000000001E-4</v>
      </c>
      <c r="K34">
        <v>-2.009E-2</v>
      </c>
      <c r="L34" s="10">
        <v>-2.0174999999999998E-2</v>
      </c>
    </row>
    <row r="35" spans="1:12" x14ac:dyDescent="0.3">
      <c r="A35" s="1">
        <v>-0.05</v>
      </c>
      <c r="B35" s="13">
        <v>-5.0340000000000003E-2</v>
      </c>
      <c r="C35" s="3">
        <f t="shared" si="0"/>
        <v>-0.34</v>
      </c>
      <c r="D35">
        <v>-4.9200000000000001E-2</v>
      </c>
      <c r="E35">
        <v>8.03E-4</v>
      </c>
      <c r="F35">
        <v>-0.05</v>
      </c>
      <c r="H35" s="1">
        <v>-0.05</v>
      </c>
      <c r="I35">
        <v>-4.9165E-2</v>
      </c>
      <c r="J35">
        <v>7.9199999999999995E-4</v>
      </c>
      <c r="K35">
        <v>-4.9959999999999997E-2</v>
      </c>
      <c r="L35" s="10">
        <v>-5.0048000000000002E-2</v>
      </c>
    </row>
    <row r="36" spans="1:12" x14ac:dyDescent="0.3">
      <c r="A36" s="1">
        <v>-0.1</v>
      </c>
      <c r="B36" s="13">
        <v>-0.10038</v>
      </c>
      <c r="C36" s="3">
        <f t="shared" si="0"/>
        <v>-0.37999999999999146</v>
      </c>
      <c r="D36">
        <v>-9.9220000000000003E-2</v>
      </c>
      <c r="E36">
        <v>8.0199999999999998E-4</v>
      </c>
      <c r="F36">
        <v>-0.10002999999999999</v>
      </c>
      <c r="H36" s="1">
        <v>-0.1</v>
      </c>
      <c r="I36">
        <v>-9.9196999999999994E-2</v>
      </c>
      <c r="J36">
        <v>7.9199999999999995E-4</v>
      </c>
      <c r="K36">
        <v>-0.10002999999999999</v>
      </c>
      <c r="L36" s="10">
        <v>-9.9989999999999996E-2</v>
      </c>
    </row>
    <row r="37" spans="1:12" x14ac:dyDescent="0.3">
      <c r="A37" s="1">
        <v>-0.25</v>
      </c>
      <c r="B37" s="13">
        <v>-0.25047000000000003</v>
      </c>
      <c r="C37" s="3">
        <f t="shared" si="0"/>
        <v>-0.47000000000002595</v>
      </c>
      <c r="D37">
        <v>-0.24932000000000001</v>
      </c>
      <c r="E37">
        <v>8.03E-4</v>
      </c>
      <c r="F37">
        <v>-0.25012000000000001</v>
      </c>
      <c r="H37" s="1">
        <v>-0.25</v>
      </c>
      <c r="I37">
        <v>-0.24928</v>
      </c>
      <c r="J37">
        <v>7.9500000000000003E-4</v>
      </c>
      <c r="K37">
        <v>-0.25008000000000002</v>
      </c>
      <c r="L37" s="10">
        <v>-0.25015999999999999</v>
      </c>
    </row>
    <row r="38" spans="1:12" x14ac:dyDescent="0.3">
      <c r="A38" s="1">
        <v>-0.5</v>
      </c>
      <c r="B38" s="13">
        <v>-0.50024000000000002</v>
      </c>
      <c r="C38" s="3">
        <f t="shared" si="0"/>
        <v>-0.24000000000001798</v>
      </c>
      <c r="D38">
        <v>-0.49908999999999998</v>
      </c>
      <c r="E38">
        <v>8.03E-4</v>
      </c>
      <c r="F38">
        <v>-0.49989</v>
      </c>
      <c r="H38" s="1">
        <v>-0.5</v>
      </c>
      <c r="I38">
        <v>-0.49904999999999999</v>
      </c>
      <c r="J38">
        <v>7.9500000000000003E-4</v>
      </c>
      <c r="K38">
        <v>-0.49985000000000002</v>
      </c>
      <c r="L38" s="10">
        <v>-0.49992999999999999</v>
      </c>
    </row>
    <row r="39" spans="1:12" x14ac:dyDescent="0.3">
      <c r="A39" s="1">
        <v>-0.75</v>
      </c>
      <c r="B39" s="13">
        <v>-0.75039999999999996</v>
      </c>
      <c r="C39" s="3">
        <f t="shared" si="0"/>
        <v>-0.39999999999995595</v>
      </c>
      <c r="D39">
        <v>-0.74924000000000002</v>
      </c>
      <c r="E39">
        <v>8.0199999999999998E-4</v>
      </c>
      <c r="F39">
        <v>-0.75004999999999999</v>
      </c>
      <c r="H39" s="1">
        <v>-0.75</v>
      </c>
      <c r="I39">
        <v>-0.74921000000000004</v>
      </c>
      <c r="J39">
        <v>7.94E-4</v>
      </c>
      <c r="K39">
        <v>-0.75</v>
      </c>
      <c r="L39" s="10">
        <v>-0.75007000000000001</v>
      </c>
    </row>
    <row r="40" spans="1:12" x14ac:dyDescent="0.3">
      <c r="A40" s="1">
        <v>-1</v>
      </c>
      <c r="B40" s="13">
        <v>-1.0001899999999999</v>
      </c>
      <c r="C40" s="3">
        <f t="shared" si="0"/>
        <v>-0.18999999999991246</v>
      </c>
      <c r="D40">
        <v>-0.99902999999999997</v>
      </c>
      <c r="E40">
        <v>8.0099999999999995E-4</v>
      </c>
      <c r="F40">
        <v>-0.99982000000000004</v>
      </c>
      <c r="H40" s="1">
        <v>-1</v>
      </c>
      <c r="I40">
        <v>-0.99899000000000004</v>
      </c>
      <c r="J40">
        <v>7.9199999999999995E-4</v>
      </c>
      <c r="K40">
        <v>-0.99978999999999996</v>
      </c>
      <c r="L40" s="10">
        <v>-0.99985000000000002</v>
      </c>
    </row>
    <row r="41" spans="1:12" x14ac:dyDescent="0.3">
      <c r="A41" s="1">
        <v>-2</v>
      </c>
      <c r="B41" s="13">
        <v>-2.0001000000000002</v>
      </c>
      <c r="C41" s="3">
        <f t="shared" si="0"/>
        <v>-0.10000000000021103</v>
      </c>
      <c r="D41">
        <v>-1.9988999999999999</v>
      </c>
      <c r="E41">
        <v>8.0099999999999995E-4</v>
      </c>
      <c r="F41">
        <v>-1.9997</v>
      </c>
      <c r="H41" s="1">
        <v>-2</v>
      </c>
      <c r="I41">
        <v>-1.9988999999999999</v>
      </c>
      <c r="J41">
        <v>7.9299999999999998E-4</v>
      </c>
      <c r="K41">
        <v>-1.9997</v>
      </c>
      <c r="L41" s="10">
        <v>-1.9997</v>
      </c>
    </row>
    <row r="42" spans="1:12" x14ac:dyDescent="0.3">
      <c r="A42" s="1">
        <v>-3</v>
      </c>
      <c r="B42" s="13">
        <v>-3.0004</v>
      </c>
      <c r="C42" s="3">
        <f t="shared" si="0"/>
        <v>-0.39999999999995595</v>
      </c>
      <c r="D42">
        <v>-2.9992000000000001</v>
      </c>
      <c r="E42">
        <v>8.0099999999999995E-4</v>
      </c>
      <c r="F42">
        <v>-3</v>
      </c>
      <c r="H42" s="1">
        <v>-3</v>
      </c>
      <c r="I42">
        <v>-2.9990999999999999</v>
      </c>
      <c r="J42">
        <v>7.9299999999999998E-4</v>
      </c>
      <c r="K42">
        <v>-2.9998999999999998</v>
      </c>
      <c r="L42" s="10">
        <v>-2.9998999999999998</v>
      </c>
    </row>
    <row r="43" spans="1:12" x14ac:dyDescent="0.3">
      <c r="A43" s="1">
        <v>-3.25</v>
      </c>
      <c r="B43" s="13">
        <v>-3.2503000000000002</v>
      </c>
      <c r="C43" s="3">
        <f t="shared" si="0"/>
        <v>-0.300000000000189</v>
      </c>
      <c r="D43">
        <v>-3.2490999999999999</v>
      </c>
      <c r="E43">
        <v>8.0199999999999998E-4</v>
      </c>
      <c r="F43">
        <v>-3.2498999999999998</v>
      </c>
      <c r="H43" s="1">
        <v>-3.25</v>
      </c>
      <c r="I43">
        <v>-3.2490000000000001</v>
      </c>
      <c r="J43">
        <v>7.94E-4</v>
      </c>
      <c r="K43">
        <v>-3.2507999999999999</v>
      </c>
      <c r="L43" s="10">
        <v>-3.2498</v>
      </c>
    </row>
    <row r="44" spans="1:12" x14ac:dyDescent="0.3">
      <c r="A44" s="1">
        <v>-3.5</v>
      </c>
      <c r="B44" s="13">
        <v>-3.5005999999999999</v>
      </c>
      <c r="C44" s="3">
        <f t="shared" si="0"/>
        <v>-0.59999999999993392</v>
      </c>
      <c r="D44">
        <v>-3.4992999999999999</v>
      </c>
      <c r="E44">
        <v>8.0099999999999995E-4</v>
      </c>
      <c r="F44">
        <v>-3.5001000000000002</v>
      </c>
      <c r="H44" s="1">
        <v>-3.5</v>
      </c>
      <c r="I44">
        <v>-3.4992999999999999</v>
      </c>
      <c r="J44">
        <v>7.94E-4</v>
      </c>
      <c r="K44">
        <v>-3.5001000000000002</v>
      </c>
      <c r="L44" s="10">
        <v>-3.5001000000000002</v>
      </c>
    </row>
    <row r="45" spans="1:12" x14ac:dyDescent="0.3">
      <c r="A45" s="1">
        <v>-3.75</v>
      </c>
      <c r="B45" s="13">
        <v>-3.7504599999999999</v>
      </c>
      <c r="C45" s="3">
        <f t="shared" si="0"/>
        <v>-0.45999999999990493</v>
      </c>
      <c r="D45">
        <v>-3.7492000000000001</v>
      </c>
      <c r="E45">
        <v>8.0099999999999995E-4</v>
      </c>
      <c r="F45">
        <v>-3.75</v>
      </c>
      <c r="H45" s="1">
        <v>-3.75</v>
      </c>
      <c r="I45">
        <v>-3.7490999999999999</v>
      </c>
      <c r="J45">
        <v>7.9600000000000005E-4</v>
      </c>
      <c r="K45" s="15">
        <v>-3.75</v>
      </c>
      <c r="L45" s="10">
        <v>-3.75</v>
      </c>
    </row>
    <row r="46" spans="1:12" x14ac:dyDescent="0.3">
      <c r="A46" s="1">
        <v>-4</v>
      </c>
      <c r="B46" s="13">
        <v>-4.0003000000000002</v>
      </c>
      <c r="C46" s="3">
        <f t="shared" si="0"/>
        <v>-0.300000000000189</v>
      </c>
      <c r="D46">
        <v>-3.9990000000000001</v>
      </c>
      <c r="E46">
        <v>8.0000000000000004E-4</v>
      </c>
      <c r="F46">
        <v>-3.9998999999999998</v>
      </c>
      <c r="H46" s="1">
        <v>-4</v>
      </c>
      <c r="I46">
        <v>-3.9988999999999999</v>
      </c>
      <c r="J46">
        <v>7.9600000000000005E-4</v>
      </c>
      <c r="K46">
        <v>-3.9996999999999998</v>
      </c>
      <c r="L46" s="10">
        <v>-3.9998</v>
      </c>
    </row>
    <row r="47" spans="1:12" x14ac:dyDescent="0.3">
      <c r="A47" s="1">
        <v>-4.4000000000000004</v>
      </c>
      <c r="B47" s="13">
        <v>-4.3997000000000002</v>
      </c>
      <c r="C47" s="3">
        <f t="shared" si="0"/>
        <v>0.300000000000189</v>
      </c>
      <c r="D47">
        <v>-4.3983999999999996</v>
      </c>
      <c r="E47">
        <v>8.0099999999999995E-4</v>
      </c>
      <c r="F47">
        <v>-4.3992000000000004</v>
      </c>
      <c r="H47" s="1">
        <v>-4.4000000000000004</v>
      </c>
      <c r="I47">
        <v>-4.3982999999999999</v>
      </c>
      <c r="J47">
        <v>7.9699999999999997E-4</v>
      </c>
      <c r="K47">
        <v>-4.3990999999999998</v>
      </c>
      <c r="L47" s="10">
        <v>-4.3997000000000002</v>
      </c>
    </row>
    <row r="48" spans="1:12" x14ac:dyDescent="0.3">
      <c r="A48" s="1">
        <v>-4.5</v>
      </c>
      <c r="B48" s="13">
        <v>-4.4997999999999996</v>
      </c>
      <c r="C48" s="3">
        <f t="shared" si="0"/>
        <v>0.20000000000042206</v>
      </c>
      <c r="D48">
        <v>-4.4984999999999999</v>
      </c>
      <c r="E48">
        <v>8.0099999999999995E-4</v>
      </c>
      <c r="F48">
        <v>-4.4992999999999999</v>
      </c>
      <c r="H48" s="1">
        <v>-4.5</v>
      </c>
      <c r="I48">
        <v>-4.4984000000000002</v>
      </c>
      <c r="J48">
        <v>7.9699999999999997E-4</v>
      </c>
      <c r="K48">
        <v>-4.5002000000000004</v>
      </c>
      <c r="L48" s="10">
        <v>-4.4997999999999996</v>
      </c>
    </row>
    <row r="49" spans="1:12" x14ac:dyDescent="0.3">
      <c r="A49" s="1">
        <v>-4.5999999999999996</v>
      </c>
      <c r="B49" s="13">
        <v>-4.59992</v>
      </c>
      <c r="C49" s="3">
        <f t="shared" si="0"/>
        <v>7.9999999999635918E-2</v>
      </c>
      <c r="D49">
        <v>-4.5986000000000002</v>
      </c>
      <c r="E49">
        <v>8.0099999999999995E-4</v>
      </c>
      <c r="F49">
        <v>-4.5994000000000002</v>
      </c>
      <c r="H49" s="1">
        <v>-4.5999999999999996</v>
      </c>
      <c r="I49">
        <v>-4.5984999999999996</v>
      </c>
      <c r="J49">
        <v>7.9699999999999997E-4</v>
      </c>
      <c r="K49">
        <v>-4.5993000000000004</v>
      </c>
      <c r="L49" s="10">
        <v>-4.5998999999999999</v>
      </c>
    </row>
    <row r="50" spans="1:12" x14ac:dyDescent="0.3">
      <c r="A50" s="1">
        <v>-4.75</v>
      </c>
      <c r="B50" s="13">
        <v>-4.75007</v>
      </c>
      <c r="C50" s="3">
        <f t="shared" si="0"/>
        <v>-7.0000000000014495E-2</v>
      </c>
      <c r="D50">
        <v>-4.7488000000000001</v>
      </c>
      <c r="E50">
        <v>8.0000000000000004E-4</v>
      </c>
      <c r="F50">
        <v>-4.7496</v>
      </c>
      <c r="H50" s="1">
        <v>-4.75</v>
      </c>
      <c r="I50">
        <v>-4.7487000000000004</v>
      </c>
      <c r="J50">
        <v>7.9699999999999997E-4</v>
      </c>
      <c r="K50">
        <v>-4.7495000000000003</v>
      </c>
      <c r="L50" s="10">
        <v>-4.75</v>
      </c>
    </row>
    <row r="51" spans="1:12" x14ac:dyDescent="0.3">
      <c r="A51" s="1">
        <v>-4.9000000000000004</v>
      </c>
      <c r="B51" s="13">
        <v>-4.8998499999999998</v>
      </c>
      <c r="C51" s="3">
        <f t="shared" si="0"/>
        <v>0.15000000000053859</v>
      </c>
      <c r="D51">
        <v>-4.8985000000000003</v>
      </c>
      <c r="E51">
        <v>7.9900000000000001E-4</v>
      </c>
      <c r="F51">
        <v>-4.8994</v>
      </c>
      <c r="H51" s="1">
        <v>-4.9000000000000004</v>
      </c>
      <c r="I51">
        <v>-4.8985000000000003</v>
      </c>
      <c r="J51">
        <v>7.9699999999999997E-4</v>
      </c>
      <c r="K51">
        <v>-4.8993000000000002</v>
      </c>
      <c r="L51" s="10">
        <v>-4.8997999999999999</v>
      </c>
    </row>
    <row r="52" spans="1:12" x14ac:dyDescent="0.3">
      <c r="A52" s="1">
        <v>-5</v>
      </c>
      <c r="B52" s="13">
        <v>-4.9999599999999997</v>
      </c>
      <c r="C52" s="3">
        <f t="shared" si="0"/>
        <v>4.0000000000262048E-2</v>
      </c>
      <c r="D52">
        <v>-4.9985999999999997</v>
      </c>
      <c r="E52">
        <v>7.9699999999999997E-4</v>
      </c>
      <c r="F52">
        <v>-4.9993999999999996</v>
      </c>
      <c r="H52" s="1">
        <v>-5</v>
      </c>
      <c r="I52">
        <v>-4.9985999999999997</v>
      </c>
      <c r="J52">
        <v>7.9799999999999999E-4</v>
      </c>
      <c r="K52">
        <v>-4.9993999999999996</v>
      </c>
      <c r="L52" s="10">
        <v>-4.9999000000000002</v>
      </c>
    </row>
    <row r="53" spans="1:12" x14ac:dyDescent="0.3">
      <c r="A53" s="1">
        <v>-5.0999999999999996</v>
      </c>
      <c r="B53" s="13">
        <v>-5.0983000000000001</v>
      </c>
      <c r="C53" s="3">
        <f t="shared" si="0"/>
        <v>1.6999999999995907</v>
      </c>
      <c r="D53">
        <v>-5.0987</v>
      </c>
      <c r="E53">
        <v>7.9600000000000005E-4</v>
      </c>
      <c r="F53">
        <v>-5.0994999999999999</v>
      </c>
      <c r="H53" s="1">
        <v>-5.0999999999999996</v>
      </c>
      <c r="I53">
        <v>-5.0987</v>
      </c>
      <c r="J53">
        <v>7.9699999999999997E-4</v>
      </c>
      <c r="K53">
        <v>-5.0994000000000002</v>
      </c>
      <c r="L53" s="10">
        <v>-5.0999999999999996</v>
      </c>
    </row>
    <row r="54" spans="1:12" x14ac:dyDescent="0.3">
      <c r="A54" s="1">
        <v>-5.2</v>
      </c>
      <c r="B54" s="13">
        <v>-5.1386000000000003</v>
      </c>
      <c r="C54" s="3">
        <f t="shared" si="0"/>
        <v>61.399999999999899</v>
      </c>
      <c r="D54">
        <v>-5.1840000000000002</v>
      </c>
      <c r="E54">
        <v>7.8799999999999996E-4</v>
      </c>
      <c r="F54">
        <v>-5.1848000000000001</v>
      </c>
      <c r="H54" s="1">
        <v>-5.2</v>
      </c>
      <c r="I54">
        <v>-5.1974999999999998</v>
      </c>
      <c r="J54">
        <v>7.9600000000000005E-4</v>
      </c>
      <c r="K54">
        <v>-5.1965000000000003</v>
      </c>
      <c r="L54" s="10">
        <v>-5.1997</v>
      </c>
    </row>
  </sheetData>
  <mergeCells count="2">
    <mergeCell ref="A8:F8"/>
    <mergeCell ref="H8:L8"/>
  </mergeCells>
  <pageMargins left="0.7" right="0.7" top="0.78740157499999996" bottom="0.78740157499999996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810B0-F6CA-425C-AFAB-03D2B3DC6E1B}">
  <dimension ref="A1:N64"/>
  <sheetViews>
    <sheetView zoomScale="80" zoomScaleNormal="80" workbookViewId="0">
      <selection activeCell="N31" sqref="N31"/>
    </sheetView>
  </sheetViews>
  <sheetFormatPr baseColWidth="10" defaultRowHeight="14.4" x14ac:dyDescent="0.3"/>
  <cols>
    <col min="3" max="7" width="13.77734375" customWidth="1"/>
    <col min="8" max="8" width="11.5546875" customWidth="1"/>
    <col min="9" max="12" width="13.77734375" customWidth="1"/>
  </cols>
  <sheetData>
    <row r="1" spans="1:13" x14ac:dyDescent="0.3">
      <c r="A1" s="5" t="s">
        <v>14</v>
      </c>
      <c r="B1" s="5"/>
      <c r="C1" s="5"/>
      <c r="D1" s="5"/>
      <c r="E1" s="5"/>
      <c r="G1" s="6" t="s">
        <v>6</v>
      </c>
      <c r="H1" s="11" t="s">
        <v>20</v>
      </c>
    </row>
    <row r="2" spans="1:13" x14ac:dyDescent="0.3">
      <c r="A2" s="5" t="s">
        <v>15</v>
      </c>
      <c r="B2" s="5"/>
      <c r="C2" s="5"/>
      <c r="D2" s="5"/>
      <c r="E2" s="5"/>
      <c r="G2" s="6" t="s">
        <v>7</v>
      </c>
      <c r="H2" s="11" t="s">
        <v>16</v>
      </c>
      <c r="I2" s="12" t="s">
        <v>8</v>
      </c>
      <c r="M2" t="s">
        <v>12</v>
      </c>
    </row>
    <row r="4" spans="1:13" x14ac:dyDescent="0.3">
      <c r="A4" s="6" t="s">
        <v>0</v>
      </c>
      <c r="B4" s="17" t="s">
        <v>18</v>
      </c>
      <c r="C4" s="17"/>
      <c r="D4" s="17"/>
    </row>
    <row r="5" spans="1:13" x14ac:dyDescent="0.3">
      <c r="A5" s="6" t="s">
        <v>1</v>
      </c>
      <c r="B5" s="17" t="s">
        <v>19</v>
      </c>
      <c r="C5" s="17"/>
      <c r="D5" s="17"/>
    </row>
    <row r="8" spans="1:13" x14ac:dyDescent="0.3">
      <c r="A8" s="16" t="s">
        <v>21</v>
      </c>
      <c r="B8" s="16"/>
      <c r="C8" s="16"/>
      <c r="D8" s="16"/>
      <c r="E8" s="16"/>
      <c r="F8" s="16"/>
      <c r="H8" s="16" t="s">
        <v>22</v>
      </c>
      <c r="I8" s="16"/>
      <c r="J8" s="16"/>
      <c r="K8" s="16"/>
      <c r="L8" s="16"/>
    </row>
    <row r="9" spans="1:13" x14ac:dyDescent="0.3">
      <c r="A9" s="4" t="s">
        <v>23</v>
      </c>
      <c r="B9" s="4" t="s">
        <v>2</v>
      </c>
      <c r="C9" s="4" t="s">
        <v>4</v>
      </c>
      <c r="D9" s="4" t="s">
        <v>9</v>
      </c>
      <c r="E9" s="4" t="s">
        <v>10</v>
      </c>
      <c r="F9" s="4" t="s">
        <v>11</v>
      </c>
      <c r="H9" s="4" t="s">
        <v>13</v>
      </c>
      <c r="I9" s="4" t="s">
        <v>9</v>
      </c>
      <c r="J9" s="4" t="s">
        <v>10</v>
      </c>
      <c r="K9" s="4" t="s">
        <v>11</v>
      </c>
      <c r="L9" s="4" t="s">
        <v>24</v>
      </c>
    </row>
    <row r="10" spans="1:13" x14ac:dyDescent="0.3">
      <c r="A10" s="1">
        <v>5.2</v>
      </c>
      <c r="B10">
        <v>5.1422999999999996</v>
      </c>
      <c r="C10" s="3">
        <f t="shared" ref="C10:C54" si="0" xml:space="preserve"> PRODUCT(B10-A10, 1000)</f>
        <v>-57.700000000000529</v>
      </c>
      <c r="D10">
        <v>5.1859999999999999</v>
      </c>
      <c r="E10">
        <v>2.0999999999999999E-3</v>
      </c>
      <c r="F10">
        <v>5.1839000000000004</v>
      </c>
      <c r="H10" s="1">
        <v>5.2</v>
      </c>
      <c r="I10">
        <v>5.1909999999999998</v>
      </c>
      <c r="J10">
        <v>2.0999999999999999E-3</v>
      </c>
      <c r="K10">
        <v>5.1889000000000003</v>
      </c>
      <c r="L10">
        <v>5.1984000000000004</v>
      </c>
    </row>
    <row r="11" spans="1:13" x14ac:dyDescent="0.3">
      <c r="A11" s="1">
        <v>5.0999999999999996</v>
      </c>
      <c r="B11">
        <v>5.1013400000000004</v>
      </c>
      <c r="C11" s="3">
        <f t="shared" si="0"/>
        <v>1.340000000000785</v>
      </c>
      <c r="D11">
        <v>5.1519000000000004</v>
      </c>
      <c r="E11">
        <v>5.0070000000000003E-2</v>
      </c>
      <c r="F11">
        <v>5.1017999999999999</v>
      </c>
      <c r="H11" s="1">
        <v>5.0999999999999996</v>
      </c>
      <c r="I11">
        <v>5.1519000000000004</v>
      </c>
      <c r="J11">
        <v>5.0020000000000002E-2</v>
      </c>
      <c r="K11">
        <v>5.1017999999999999</v>
      </c>
      <c r="L11">
        <v>5.1005000000000003</v>
      </c>
    </row>
    <row r="12" spans="1:13" x14ac:dyDescent="0.3">
      <c r="A12" s="1">
        <v>5</v>
      </c>
      <c r="B12" s="13">
        <v>5.0019200000000001</v>
      </c>
      <c r="C12" s="3">
        <f t="shared" si="0"/>
        <v>1.9200000000001438</v>
      </c>
      <c r="D12">
        <v>5.1021999999999998</v>
      </c>
      <c r="E12">
        <v>0.10009999999999999</v>
      </c>
      <c r="F12">
        <v>5.0021000000000004</v>
      </c>
      <c r="H12" s="1">
        <v>5</v>
      </c>
      <c r="I12">
        <v>5.1021999999999998</v>
      </c>
      <c r="J12">
        <v>0.10009999999999999</v>
      </c>
      <c r="K12">
        <v>5.0021000000000004</v>
      </c>
      <c r="L12">
        <v>5.0007999999999999</v>
      </c>
    </row>
    <row r="13" spans="1:13" x14ac:dyDescent="0.3">
      <c r="A13" s="1">
        <v>4.9000000000000004</v>
      </c>
      <c r="B13" s="13">
        <v>4.9017499999999998</v>
      </c>
      <c r="C13" s="3">
        <f t="shared" si="0"/>
        <v>1.7499999999994742</v>
      </c>
      <c r="D13">
        <v>5.0522</v>
      </c>
      <c r="E13">
        <v>0.15024999999999999</v>
      </c>
      <c r="F13">
        <v>4.9019000000000004</v>
      </c>
      <c r="H13" s="1">
        <v>4.9000000000000004</v>
      </c>
      <c r="I13">
        <v>5.0522</v>
      </c>
      <c r="J13">
        <v>0.15023</v>
      </c>
      <c r="K13">
        <v>4.9020000000000001</v>
      </c>
      <c r="L13">
        <v>4.9005999999999998</v>
      </c>
    </row>
    <row r="14" spans="1:13" x14ac:dyDescent="0.3">
      <c r="A14" s="1">
        <v>4.75</v>
      </c>
      <c r="B14" s="13">
        <v>4.7514599999999998</v>
      </c>
      <c r="C14" s="3">
        <f t="shared" si="0"/>
        <v>1.4599999999997948</v>
      </c>
      <c r="D14">
        <v>4.9771000000000001</v>
      </c>
      <c r="E14">
        <v>0.22545999999999999</v>
      </c>
      <c r="F14">
        <v>4.7516999999999996</v>
      </c>
      <c r="H14" s="1">
        <v>4.75</v>
      </c>
      <c r="I14">
        <v>4.9771000000000001</v>
      </c>
      <c r="J14">
        <v>0.22542999999999999</v>
      </c>
      <c r="K14">
        <v>4.7515999999999998</v>
      </c>
      <c r="L14">
        <v>4.7502000000000004</v>
      </c>
    </row>
    <row r="15" spans="1:13" x14ac:dyDescent="0.3">
      <c r="A15" s="1">
        <v>4.5999999999999996</v>
      </c>
      <c r="B15" s="13">
        <v>4.6011499999999996</v>
      </c>
      <c r="C15" s="3">
        <f t="shared" si="0"/>
        <v>1.1499999999999844</v>
      </c>
      <c r="D15">
        <v>4.9020000000000001</v>
      </c>
      <c r="E15">
        <v>0.30068</v>
      </c>
      <c r="F15">
        <v>4.6013000000000002</v>
      </c>
      <c r="H15" s="1">
        <v>4.5999999999999996</v>
      </c>
      <c r="I15">
        <v>4.9020000000000001</v>
      </c>
      <c r="J15">
        <v>0.30064000000000002</v>
      </c>
      <c r="K15">
        <v>4.6013999999999999</v>
      </c>
      <c r="L15">
        <v>4.5999999999999996</v>
      </c>
    </row>
    <row r="16" spans="1:13" x14ac:dyDescent="0.3">
      <c r="A16" s="1">
        <v>4.5</v>
      </c>
      <c r="B16" s="13">
        <v>4.5025500000000003</v>
      </c>
      <c r="C16" s="3">
        <f t="shared" si="0"/>
        <v>2.5500000000002743</v>
      </c>
      <c r="D16">
        <v>4.8520000000000003</v>
      </c>
      <c r="E16">
        <v>0.34925</v>
      </c>
      <c r="F16">
        <v>4.5026999999999999</v>
      </c>
      <c r="H16" s="1">
        <v>4.5</v>
      </c>
      <c r="I16">
        <v>4.8518999999999997</v>
      </c>
      <c r="J16">
        <v>0.34921000000000002</v>
      </c>
      <c r="K16">
        <v>4.5026999999999999</v>
      </c>
      <c r="L16">
        <v>4.5012999999999996</v>
      </c>
    </row>
    <row r="17" spans="1:14" x14ac:dyDescent="0.3">
      <c r="A17" s="1">
        <v>4.4000000000000004</v>
      </c>
      <c r="B17" s="13">
        <v>4.4023599999999998</v>
      </c>
      <c r="C17" s="3">
        <f t="shared" si="0"/>
        <v>2.3599999999994736</v>
      </c>
      <c r="D17">
        <v>4.8018999999999998</v>
      </c>
      <c r="E17">
        <v>0.39938000000000001</v>
      </c>
      <c r="F17">
        <v>4.4024999999999999</v>
      </c>
      <c r="H17" s="1">
        <v>4.4000000000000004</v>
      </c>
      <c r="I17">
        <v>4.8018999999999998</v>
      </c>
      <c r="J17">
        <v>0.39933999999999997</v>
      </c>
      <c r="K17">
        <v>4.4024999999999999</v>
      </c>
      <c r="L17">
        <v>4.4012000000000002</v>
      </c>
    </row>
    <row r="18" spans="1:14" x14ac:dyDescent="0.3">
      <c r="A18" s="1">
        <v>4</v>
      </c>
      <c r="B18" s="13">
        <v>4.0019799999999996</v>
      </c>
      <c r="C18" s="3">
        <f t="shared" si="0"/>
        <v>1.9799999999996487</v>
      </c>
      <c r="D18">
        <v>4.6021000000000001</v>
      </c>
      <c r="E18">
        <v>0.59994999999999998</v>
      </c>
      <c r="F18">
        <v>4.0021000000000004</v>
      </c>
      <c r="H18" s="1">
        <v>4</v>
      </c>
      <c r="I18">
        <v>4.6021000000000001</v>
      </c>
      <c r="J18">
        <v>0.59991000000000005</v>
      </c>
      <c r="K18">
        <v>4.0022000000000002</v>
      </c>
      <c r="L18">
        <v>4.0007999999999999</v>
      </c>
    </row>
    <row r="19" spans="1:14" x14ac:dyDescent="0.3">
      <c r="A19" s="1">
        <v>3.75</v>
      </c>
      <c r="B19" s="13">
        <v>3.7514799999999999</v>
      </c>
      <c r="C19" s="3">
        <f t="shared" si="0"/>
        <v>1.4799999999999258</v>
      </c>
      <c r="D19">
        <v>4.4768999999999997</v>
      </c>
      <c r="E19">
        <v>0.72528000000000004</v>
      </c>
      <c r="F19">
        <v>3.7517</v>
      </c>
      <c r="H19" s="1">
        <v>3.75</v>
      </c>
      <c r="I19">
        <v>4.4768999999999997</v>
      </c>
      <c r="J19">
        <v>0.72526999999999997</v>
      </c>
      <c r="K19">
        <v>3.7517</v>
      </c>
      <c r="L19">
        <v>3.7503000000000002</v>
      </c>
      <c r="M19">
        <v>3.4</v>
      </c>
      <c r="N19">
        <v>3.4</v>
      </c>
    </row>
    <row r="20" spans="1:14" x14ac:dyDescent="0.3">
      <c r="A20" s="1">
        <v>3.5</v>
      </c>
      <c r="B20" s="13">
        <v>3.50136</v>
      </c>
      <c r="C20" s="3">
        <f t="shared" si="0"/>
        <v>1.3600000000000279</v>
      </c>
      <c r="D20">
        <v>4.3517999999999999</v>
      </c>
      <c r="E20">
        <v>0.85063999999999995</v>
      </c>
      <c r="F20">
        <v>3.5021</v>
      </c>
      <c r="H20" s="1">
        <v>3.5</v>
      </c>
      <c r="I20">
        <v>4.3521999999999998</v>
      </c>
      <c r="J20">
        <v>0.85062000000000004</v>
      </c>
      <c r="K20">
        <v>3.5015000000000001</v>
      </c>
      <c r="L20">
        <v>3.5002</v>
      </c>
      <c r="M20">
        <v>3.3</v>
      </c>
      <c r="N20">
        <v>3.3014000000000001</v>
      </c>
    </row>
    <row r="21" spans="1:14" x14ac:dyDescent="0.3">
      <c r="A21" s="1">
        <v>3.25</v>
      </c>
      <c r="B21" s="13">
        <v>3.2523</v>
      </c>
      <c r="C21" s="3">
        <f t="shared" si="0"/>
        <v>2.2999999999999687</v>
      </c>
      <c r="D21">
        <v>4.2268999999999997</v>
      </c>
      <c r="E21">
        <v>0.97441</v>
      </c>
      <c r="F21">
        <v>3.2524999999999999</v>
      </c>
      <c r="H21" s="1">
        <v>3.25</v>
      </c>
      <c r="I21">
        <v>4.2267999999999999</v>
      </c>
      <c r="J21">
        <v>0.97441</v>
      </c>
      <c r="K21">
        <v>3.2524999999999999</v>
      </c>
      <c r="L21">
        <v>3.2513000000000001</v>
      </c>
      <c r="M21">
        <v>3.27</v>
      </c>
      <c r="N21">
        <v>3.2707999999999999</v>
      </c>
    </row>
    <row r="22" spans="1:14" x14ac:dyDescent="0.3">
      <c r="A22" s="1">
        <v>3</v>
      </c>
      <c r="B22" s="13">
        <v>3.0012500000000002</v>
      </c>
      <c r="C22" s="3">
        <f t="shared" si="0"/>
        <v>1.2500000000001954</v>
      </c>
      <c r="D22">
        <v>4.1012000000000004</v>
      </c>
      <c r="E22">
        <v>1.0997699999999999</v>
      </c>
      <c r="F22">
        <v>3.0013999999999998</v>
      </c>
      <c r="H22" s="1">
        <v>3</v>
      </c>
      <c r="I22">
        <v>4.1012000000000004</v>
      </c>
      <c r="J22">
        <v>1.0997699999999999</v>
      </c>
      <c r="K22">
        <v>3.0013999999999998</v>
      </c>
      <c r="L22">
        <v>3.0009000000000001</v>
      </c>
      <c r="M22">
        <v>3.23</v>
      </c>
      <c r="N22">
        <v>3.2302</v>
      </c>
    </row>
    <row r="23" spans="1:14" x14ac:dyDescent="0.3">
      <c r="A23" s="1">
        <v>2</v>
      </c>
      <c r="B23" s="13">
        <v>2.0009999999999999</v>
      </c>
      <c r="C23" s="3">
        <f t="shared" si="0"/>
        <v>0.99999999999988987</v>
      </c>
      <c r="D23">
        <v>3.6008</v>
      </c>
      <c r="E23">
        <v>1.5995999999999999</v>
      </c>
      <c r="F23">
        <v>2.0011999999999999</v>
      </c>
      <c r="H23" s="1">
        <v>2</v>
      </c>
      <c r="I23">
        <v>3.6008</v>
      </c>
      <c r="J23">
        <v>1.5995999999999999</v>
      </c>
      <c r="K23">
        <v>2.0011999999999999</v>
      </c>
      <c r="L23">
        <v>2.0011000000000001</v>
      </c>
      <c r="M23">
        <v>3.2</v>
      </c>
      <c r="N23">
        <v>3.2012</v>
      </c>
    </row>
    <row r="24" spans="1:14" x14ac:dyDescent="0.3">
      <c r="A24" s="1">
        <v>1</v>
      </c>
      <c r="B24" s="13">
        <v>0.99990999999999997</v>
      </c>
      <c r="C24" s="3">
        <f t="shared" si="0"/>
        <v>-9.0000000000034497E-2</v>
      </c>
      <c r="D24">
        <v>3.101</v>
      </c>
      <c r="E24">
        <v>2.101</v>
      </c>
      <c r="F24">
        <v>1.0000500000000001</v>
      </c>
      <c r="H24" s="1">
        <v>1</v>
      </c>
      <c r="I24">
        <v>3.101</v>
      </c>
      <c r="J24">
        <v>2.101</v>
      </c>
      <c r="K24">
        <v>1.0000599999999999</v>
      </c>
      <c r="L24">
        <v>0.99995000000000001</v>
      </c>
      <c r="M24">
        <v>3.1</v>
      </c>
      <c r="N24">
        <v>3.101</v>
      </c>
    </row>
    <row r="25" spans="1:14" x14ac:dyDescent="0.3">
      <c r="A25" s="1">
        <v>0.75</v>
      </c>
      <c r="B25" s="13">
        <v>0.751</v>
      </c>
      <c r="C25" s="3">
        <f t="shared" si="0"/>
        <v>1.0000000000000009</v>
      </c>
      <c r="D25">
        <v>2.9759000000000002</v>
      </c>
      <c r="E25">
        <v>2.2248000000000001</v>
      </c>
      <c r="F25">
        <v>0.75114000000000003</v>
      </c>
      <c r="H25" s="1">
        <v>0.75</v>
      </c>
      <c r="I25">
        <v>2.9759000000000002</v>
      </c>
      <c r="J25">
        <v>2.2246999999999999</v>
      </c>
      <c r="K25">
        <v>0.75116000000000005</v>
      </c>
      <c r="L25">
        <v>0.75109999999999999</v>
      </c>
    </row>
    <row r="26" spans="1:14" x14ac:dyDescent="0.3">
      <c r="A26" s="1">
        <v>0.5</v>
      </c>
      <c r="B26" s="13">
        <v>0.50053999999999998</v>
      </c>
      <c r="C26" s="3">
        <f t="shared" si="0"/>
        <v>0.53999999999998494</v>
      </c>
      <c r="D26">
        <v>2.8508</v>
      </c>
      <c r="E26">
        <v>2.3500999999999999</v>
      </c>
      <c r="F26">
        <v>0.50070000000000003</v>
      </c>
      <c r="H26" s="1">
        <v>0.5</v>
      </c>
      <c r="I26">
        <v>2.8506999999999998</v>
      </c>
      <c r="J26">
        <v>2.3500999999999999</v>
      </c>
      <c r="K26">
        <v>0.50070000000000003</v>
      </c>
      <c r="L26">
        <v>0.50060000000000004</v>
      </c>
    </row>
    <row r="27" spans="1:14" x14ac:dyDescent="0.3">
      <c r="A27" s="1">
        <v>0.25</v>
      </c>
      <c r="B27" s="13">
        <v>0.25040000000000001</v>
      </c>
      <c r="C27" s="3">
        <f t="shared" si="0"/>
        <v>0.40000000000001146</v>
      </c>
      <c r="D27">
        <v>2.726</v>
      </c>
      <c r="E27">
        <v>2.4754999999999998</v>
      </c>
      <c r="F27">
        <v>0.25056</v>
      </c>
      <c r="H27" s="1">
        <v>0.25</v>
      </c>
      <c r="I27">
        <v>2.726</v>
      </c>
      <c r="J27">
        <v>2.4754999999999998</v>
      </c>
      <c r="K27">
        <v>0.25057000000000001</v>
      </c>
      <c r="L27">
        <v>0.2505</v>
      </c>
    </row>
    <row r="28" spans="1:14" x14ac:dyDescent="0.3">
      <c r="A28" s="1">
        <v>0.1</v>
      </c>
      <c r="B28" s="13">
        <v>0.10013</v>
      </c>
      <c r="C28" s="3">
        <f t="shared" si="0"/>
        <v>0.12999999999999123</v>
      </c>
      <c r="D28">
        <v>2.6509999999999998</v>
      </c>
      <c r="E28">
        <v>2.5506000000000002</v>
      </c>
      <c r="F28">
        <v>0.10029</v>
      </c>
      <c r="H28" s="1">
        <v>0.1</v>
      </c>
      <c r="I28">
        <v>2.6509999999999998</v>
      </c>
      <c r="J28">
        <v>2.5506000000000002</v>
      </c>
      <c r="K28">
        <v>0.10029</v>
      </c>
      <c r="L28">
        <v>0.1002</v>
      </c>
    </row>
    <row r="29" spans="1:14" x14ac:dyDescent="0.3">
      <c r="A29" s="1">
        <v>0.05</v>
      </c>
      <c r="B29" s="13">
        <v>5.0040000000000001E-2</v>
      </c>
      <c r="C29" s="3">
        <f t="shared" si="0"/>
        <v>3.999999999999837E-2</v>
      </c>
      <c r="D29">
        <v>2.6259000000000001</v>
      </c>
      <c r="E29">
        <v>2.5756999999999999</v>
      </c>
      <c r="F29">
        <v>5.0189999999999999E-2</v>
      </c>
      <c r="H29" s="1">
        <v>0.05</v>
      </c>
      <c r="I29">
        <v>2.6259000000000001</v>
      </c>
      <c r="J29">
        <v>2.5756999999999999</v>
      </c>
      <c r="K29">
        <v>5.0189999999999999E-2</v>
      </c>
      <c r="L29">
        <v>5.0130000000000001E-2</v>
      </c>
    </row>
    <row r="30" spans="1:14" x14ac:dyDescent="0.3">
      <c r="A30" s="1">
        <v>0.02</v>
      </c>
      <c r="B30" s="13">
        <v>2.0979999999999999E-2</v>
      </c>
      <c r="C30" s="3">
        <f t="shared" si="0"/>
        <v>0.97999999999999821</v>
      </c>
      <c r="D30">
        <v>2.6110000000000002</v>
      </c>
      <c r="E30">
        <v>2.5897999999999999</v>
      </c>
      <c r="F30">
        <v>2.1129999999999999E-2</v>
      </c>
      <c r="H30" s="1">
        <v>0.02</v>
      </c>
      <c r="I30">
        <v>2.6110000000000002</v>
      </c>
      <c r="J30">
        <v>2.5897999999999999</v>
      </c>
      <c r="K30">
        <v>2.1129999999999999E-2</v>
      </c>
      <c r="L30">
        <v>2.1059999999999999E-2</v>
      </c>
    </row>
    <row r="31" spans="1:14" x14ac:dyDescent="0.3">
      <c r="A31" s="1">
        <v>0.01</v>
      </c>
      <c r="B31" s="13">
        <v>9.4999999999999998E-3</v>
      </c>
      <c r="C31" s="3">
        <f t="shared" si="0"/>
        <v>-0.50000000000000044</v>
      </c>
      <c r="D31">
        <v>2.6057999999999999</v>
      </c>
      <c r="E31">
        <v>2.5960999999999999</v>
      </c>
      <c r="F31">
        <v>9.6399999999999993E-3</v>
      </c>
      <c r="H31" s="1">
        <v>0.01</v>
      </c>
      <c r="I31">
        <v>2.6057999999999999</v>
      </c>
      <c r="J31">
        <v>2.5960999999999999</v>
      </c>
      <c r="K31">
        <v>9.6399999999999993E-3</v>
      </c>
      <c r="L31">
        <v>9.5700000000000004E-3</v>
      </c>
    </row>
    <row r="32" spans="1:14" x14ac:dyDescent="0.3">
      <c r="A32" s="7">
        <v>0</v>
      </c>
      <c r="B32" s="14">
        <v>5.0000000000000002E-5</v>
      </c>
      <c r="C32" s="9">
        <f t="shared" si="0"/>
        <v>0.05</v>
      </c>
      <c r="D32" s="8">
        <v>2.6009000000000002</v>
      </c>
      <c r="E32" s="8">
        <v>2.6008</v>
      </c>
      <c r="F32" s="8">
        <v>1E-4</v>
      </c>
      <c r="H32" s="7">
        <v>0</v>
      </c>
      <c r="I32" s="8">
        <v>2.6009000000000002</v>
      </c>
      <c r="J32" s="8">
        <v>2.6008</v>
      </c>
      <c r="K32" s="8">
        <v>1E-4</v>
      </c>
      <c r="L32" s="10">
        <v>4.0000000000000003E-5</v>
      </c>
    </row>
    <row r="33" spans="1:12" x14ac:dyDescent="0.3">
      <c r="A33" s="1">
        <v>-0.01</v>
      </c>
      <c r="B33" s="13">
        <v>-9.58E-3</v>
      </c>
      <c r="C33" s="3">
        <f t="shared" si="0"/>
        <v>0.42000000000000026</v>
      </c>
      <c r="D33" s="10">
        <v>2.5960000000000001</v>
      </c>
      <c r="E33" s="10">
        <v>2.6055000000000001</v>
      </c>
      <c r="F33" s="10">
        <v>-9.4599999999999997E-3</v>
      </c>
      <c r="H33" s="1">
        <v>-0.01</v>
      </c>
      <c r="I33" s="10">
        <v>2.5960000000000001</v>
      </c>
      <c r="J33" s="10">
        <v>2.6055000000000001</v>
      </c>
      <c r="K33" s="10">
        <v>-9.4500000000000001E-3</v>
      </c>
      <c r="L33" s="10">
        <v>-9.5300000000000003E-3</v>
      </c>
    </row>
    <row r="34" spans="1:12" x14ac:dyDescent="0.3">
      <c r="A34" s="1">
        <v>-0.02</v>
      </c>
      <c r="B34" s="13">
        <v>-1.951E-2</v>
      </c>
      <c r="C34" s="3">
        <f t="shared" si="0"/>
        <v>0.49000000000000088</v>
      </c>
      <c r="D34" s="10">
        <v>2.5908000000000002</v>
      </c>
      <c r="E34" s="10">
        <v>2.6101999999999999</v>
      </c>
      <c r="F34" s="10">
        <v>-1.9400000000000001E-2</v>
      </c>
      <c r="H34" s="1">
        <v>-0.02</v>
      </c>
      <c r="I34" s="10">
        <v>2.5908000000000002</v>
      </c>
      <c r="J34" s="10">
        <v>2.6101000000000001</v>
      </c>
      <c r="K34" s="10">
        <v>-1.9400000000000001E-2</v>
      </c>
      <c r="L34" s="10">
        <v>-1.9449999999999999E-2</v>
      </c>
    </row>
    <row r="35" spans="1:12" x14ac:dyDescent="0.3">
      <c r="A35" s="1">
        <v>-0.05</v>
      </c>
      <c r="B35" s="13">
        <v>-5.0139999999999997E-2</v>
      </c>
      <c r="C35" s="3">
        <f t="shared" si="0"/>
        <v>-0.1399999999999943</v>
      </c>
      <c r="D35" s="10">
        <v>2.5758999999999999</v>
      </c>
      <c r="E35" s="10">
        <v>2.6259000000000001</v>
      </c>
      <c r="F35" s="10">
        <v>-0.05</v>
      </c>
      <c r="H35" s="1">
        <v>-0.05</v>
      </c>
      <c r="I35" s="10">
        <v>2.5758000000000001</v>
      </c>
      <c r="J35" s="10">
        <v>2.6257999999999999</v>
      </c>
      <c r="K35" s="10">
        <v>-4.9979999999999997E-2</v>
      </c>
      <c r="L35" s="10">
        <v>-5.0049999999999997E-2</v>
      </c>
    </row>
    <row r="36" spans="1:12" x14ac:dyDescent="0.3">
      <c r="A36" s="1">
        <v>-0.1</v>
      </c>
      <c r="B36" s="13">
        <v>-0.10025000000000001</v>
      </c>
      <c r="C36" s="3">
        <f t="shared" si="0"/>
        <v>-0.25000000000000022</v>
      </c>
      <c r="D36" s="10">
        <v>2.5508000000000002</v>
      </c>
      <c r="E36" s="10">
        <v>2.6509</v>
      </c>
      <c r="F36" s="10">
        <v>-0.10009999999999999</v>
      </c>
      <c r="H36" s="1">
        <v>-0.1</v>
      </c>
      <c r="I36" s="10">
        <v>2.5508000000000002</v>
      </c>
      <c r="J36" s="10">
        <v>2.6509</v>
      </c>
      <c r="K36" s="10">
        <v>-0.10008</v>
      </c>
      <c r="L36" s="10">
        <v>-0.1002</v>
      </c>
    </row>
    <row r="37" spans="1:12" x14ac:dyDescent="0.3">
      <c r="A37" s="1">
        <v>-0.25</v>
      </c>
      <c r="B37" s="13">
        <v>-0.24898999999999999</v>
      </c>
      <c r="C37" s="3">
        <f t="shared" si="0"/>
        <v>1.0100000000000109</v>
      </c>
      <c r="D37" s="10">
        <v>2.4758</v>
      </c>
      <c r="E37" s="10">
        <v>2.7246000000000001</v>
      </c>
      <c r="F37" s="10">
        <v>-0.24883</v>
      </c>
      <c r="H37" s="1">
        <v>-0.25</v>
      </c>
      <c r="I37" s="10">
        <v>2.4756999999999998</v>
      </c>
      <c r="J37" s="10">
        <v>2.7244999999999999</v>
      </c>
      <c r="K37" s="10">
        <v>-0.24879999999999999</v>
      </c>
      <c r="L37" s="10">
        <v>-0.24879999999999999</v>
      </c>
    </row>
    <row r="38" spans="1:12" x14ac:dyDescent="0.3">
      <c r="A38" s="1">
        <v>-0.5</v>
      </c>
      <c r="B38" s="13">
        <v>-0.49906</v>
      </c>
      <c r="C38" s="3">
        <f t="shared" si="0"/>
        <v>0.93999999999999639</v>
      </c>
      <c r="D38" s="10">
        <v>2.351</v>
      </c>
      <c r="E38" s="10">
        <v>2.8498999999999999</v>
      </c>
      <c r="F38" s="10">
        <v>-0.49892999999999998</v>
      </c>
      <c r="H38" s="1">
        <v>-0.5</v>
      </c>
      <c r="I38" s="10">
        <v>2.351</v>
      </c>
      <c r="J38" s="10">
        <v>2.8498999999999999</v>
      </c>
      <c r="K38" s="10">
        <v>-0.49887999999999999</v>
      </c>
      <c r="L38" s="10">
        <v>-0.499</v>
      </c>
    </row>
    <row r="39" spans="1:12" x14ac:dyDescent="0.3">
      <c r="A39" s="1">
        <v>-0.75</v>
      </c>
      <c r="B39" s="13">
        <v>-0.74953999999999998</v>
      </c>
      <c r="C39" s="3">
        <f t="shared" si="0"/>
        <v>0.46000000000001595</v>
      </c>
      <c r="D39" s="10">
        <v>2.2259000000000002</v>
      </c>
      <c r="E39" s="10">
        <v>2.9752999999999998</v>
      </c>
      <c r="F39" s="10">
        <v>-0.74939999999999996</v>
      </c>
      <c r="H39" s="1">
        <v>-0.75</v>
      </c>
      <c r="I39" s="10">
        <v>2.2259000000000002</v>
      </c>
      <c r="J39" s="10">
        <v>2.9752000000000001</v>
      </c>
      <c r="K39" s="10">
        <v>-0.74939999999999996</v>
      </c>
      <c r="L39" s="10">
        <v>-0.74948000000000004</v>
      </c>
    </row>
    <row r="40" spans="1:12" x14ac:dyDescent="0.3">
      <c r="A40" s="1">
        <v>-1</v>
      </c>
      <c r="B40" s="13">
        <v>-1.00003</v>
      </c>
      <c r="C40" s="3">
        <f t="shared" si="0"/>
        <v>-2.9999999999974492E-2</v>
      </c>
      <c r="D40" s="10">
        <v>2.1006999999999998</v>
      </c>
      <c r="E40" s="10">
        <v>3.1006</v>
      </c>
      <c r="F40" s="10">
        <v>-0.99987999999999999</v>
      </c>
      <c r="H40" s="1">
        <v>-1</v>
      </c>
      <c r="I40" s="10">
        <v>2.1006999999999998</v>
      </c>
      <c r="J40" s="10">
        <v>3.1006</v>
      </c>
      <c r="K40" s="10">
        <v>-0.99985999999999997</v>
      </c>
      <c r="L40" s="10">
        <v>-0.99992999999999999</v>
      </c>
    </row>
    <row r="41" spans="1:12" x14ac:dyDescent="0.3">
      <c r="A41" s="1">
        <v>-2</v>
      </c>
      <c r="B41" s="13">
        <v>-2.0001000000000002</v>
      </c>
      <c r="C41" s="3">
        <f t="shared" si="0"/>
        <v>-0.10000000000021103</v>
      </c>
      <c r="D41" s="10">
        <v>1.6005</v>
      </c>
      <c r="E41" s="10">
        <v>3.6004</v>
      </c>
      <c r="F41" s="10">
        <v>-2</v>
      </c>
      <c r="H41" s="1">
        <v>-2</v>
      </c>
      <c r="I41" s="10">
        <v>1.6005</v>
      </c>
      <c r="J41" s="10">
        <v>3.6004</v>
      </c>
      <c r="K41" s="10">
        <v>-1.9999</v>
      </c>
      <c r="L41" s="10">
        <v>-2</v>
      </c>
    </row>
    <row r="42" spans="1:12" x14ac:dyDescent="0.3">
      <c r="A42" s="1">
        <v>-3</v>
      </c>
      <c r="B42" s="13">
        <v>-2.9998</v>
      </c>
      <c r="C42" s="3">
        <f t="shared" si="0"/>
        <v>0.19999999999997797</v>
      </c>
      <c r="D42" s="10">
        <v>1.1008199999999999</v>
      </c>
      <c r="E42" s="10">
        <v>4.1003999999999996</v>
      </c>
      <c r="F42" s="10">
        <v>-2.9996</v>
      </c>
      <c r="H42" s="1">
        <v>-3</v>
      </c>
      <c r="I42" s="10">
        <v>1.10083</v>
      </c>
      <c r="J42" s="10">
        <v>4.1003999999999996</v>
      </c>
      <c r="K42" s="10">
        <v>-2.9996</v>
      </c>
      <c r="L42" s="10">
        <v>-2.9992999999999999</v>
      </c>
    </row>
    <row r="43" spans="1:12" x14ac:dyDescent="0.3">
      <c r="A43" s="1">
        <v>-3.25</v>
      </c>
      <c r="B43" s="13">
        <v>-3.2505999999999999</v>
      </c>
      <c r="C43" s="3">
        <f t="shared" si="0"/>
        <v>-0.59999999999993392</v>
      </c>
      <c r="D43" s="10">
        <v>0.97572999999999999</v>
      </c>
      <c r="E43" s="10">
        <v>4.2262000000000004</v>
      </c>
      <c r="F43" s="10">
        <v>-3.2504</v>
      </c>
      <c r="H43" s="1">
        <v>-3.25</v>
      </c>
      <c r="I43" s="10">
        <v>0.97574000000000005</v>
      </c>
      <c r="J43" s="10">
        <v>4.2260999999999997</v>
      </c>
      <c r="K43" s="10">
        <v>-3.2504</v>
      </c>
      <c r="L43" s="10">
        <v>-3.2496999999999998</v>
      </c>
    </row>
    <row r="44" spans="1:12" x14ac:dyDescent="0.3">
      <c r="A44" s="1">
        <v>-3.5</v>
      </c>
      <c r="B44" s="13">
        <v>-3.5011999999999999</v>
      </c>
      <c r="C44" s="3">
        <f t="shared" si="0"/>
        <v>-1.1999999999998678</v>
      </c>
      <c r="D44" s="10">
        <v>0.85065000000000002</v>
      </c>
      <c r="E44" s="10">
        <v>4.3517000000000001</v>
      </c>
      <c r="F44" s="10">
        <v>-3.5009999999999999</v>
      </c>
      <c r="H44" s="1">
        <v>-3.5</v>
      </c>
      <c r="I44" s="10">
        <v>0.85065000000000002</v>
      </c>
      <c r="J44" s="10">
        <v>4.3516000000000004</v>
      </c>
      <c r="K44" s="10">
        <v>-3.5009999999999999</v>
      </c>
      <c r="L44" s="10">
        <v>-3.5001000000000002</v>
      </c>
    </row>
    <row r="45" spans="1:12" x14ac:dyDescent="0.3">
      <c r="A45" s="1">
        <v>-3.75</v>
      </c>
      <c r="B45" s="13">
        <v>-3.7512300000000001</v>
      </c>
      <c r="C45" s="3">
        <f t="shared" si="0"/>
        <v>-1.2300000000000644</v>
      </c>
      <c r="D45" s="10">
        <v>0.72594999999999998</v>
      </c>
      <c r="E45" s="10">
        <v>4.4770000000000003</v>
      </c>
      <c r="F45" s="10">
        <v>-3.7511000000000001</v>
      </c>
      <c r="H45" s="1">
        <v>-3.75</v>
      </c>
      <c r="I45" s="10">
        <v>0.72596000000000005</v>
      </c>
      <c r="J45" s="10">
        <v>4.4770000000000003</v>
      </c>
      <c r="K45" s="10">
        <v>-3.7509999999999999</v>
      </c>
      <c r="L45" s="10">
        <v>-3.7502</v>
      </c>
    </row>
    <row r="46" spans="1:12" x14ac:dyDescent="0.3">
      <c r="A46" s="1">
        <v>-4</v>
      </c>
      <c r="B46" s="13">
        <v>-4</v>
      </c>
      <c r="C46" s="3">
        <f t="shared" si="0"/>
        <v>0</v>
      </c>
      <c r="D46" s="10">
        <v>0.60087999999999997</v>
      </c>
      <c r="E46" s="10">
        <v>4.6007999999999996</v>
      </c>
      <c r="F46" s="10">
        <v>-4</v>
      </c>
      <c r="H46" s="1">
        <v>-4</v>
      </c>
      <c r="I46" s="10">
        <v>0.60087999999999997</v>
      </c>
      <c r="J46" s="10">
        <v>4.6007999999999996</v>
      </c>
      <c r="K46" s="10">
        <v>-3.9998999999999998</v>
      </c>
      <c r="L46" s="10">
        <v>-3.9990000000000001</v>
      </c>
    </row>
    <row r="47" spans="1:12" x14ac:dyDescent="0.3">
      <c r="A47" s="1">
        <v>-4.4000000000000004</v>
      </c>
      <c r="B47" s="13">
        <v>-4.4007800000000001</v>
      </c>
      <c r="C47" s="3">
        <f t="shared" si="0"/>
        <v>-0.77999999999978087</v>
      </c>
      <c r="D47" s="10">
        <v>0.40075</v>
      </c>
      <c r="E47" s="10">
        <v>4.8014000000000001</v>
      </c>
      <c r="F47" s="10">
        <v>-4.4006999999999996</v>
      </c>
      <c r="H47" s="1">
        <v>-4.4000000000000004</v>
      </c>
      <c r="I47" s="10">
        <v>0.40075</v>
      </c>
      <c r="J47" s="10">
        <v>4.8013000000000003</v>
      </c>
      <c r="K47" s="10">
        <v>-4.4005999999999998</v>
      </c>
      <c r="L47" s="10">
        <v>-4.3997000000000002</v>
      </c>
    </row>
    <row r="48" spans="1:12" x14ac:dyDescent="0.3">
      <c r="A48" s="1">
        <v>-4.5</v>
      </c>
      <c r="B48" s="13">
        <v>-4.5006000000000004</v>
      </c>
      <c r="C48" s="3">
        <f t="shared" si="0"/>
        <v>-0.60000000000037801</v>
      </c>
      <c r="D48" s="10">
        <v>0.35110000000000002</v>
      </c>
      <c r="E48" s="10">
        <v>4.8516000000000004</v>
      </c>
      <c r="F48" s="10">
        <v>-4.5004999999999997</v>
      </c>
      <c r="H48" s="1">
        <v>-4.5</v>
      </c>
      <c r="I48" s="10">
        <v>0.35110000000000002</v>
      </c>
      <c r="J48" s="10">
        <v>4.8514999999999997</v>
      </c>
      <c r="K48" s="10">
        <v>-4.5004</v>
      </c>
      <c r="L48" s="10">
        <v>-4.4995000000000003</v>
      </c>
    </row>
    <row r="49" spans="1:12" x14ac:dyDescent="0.3">
      <c r="A49" s="1">
        <v>-4.5999999999999996</v>
      </c>
      <c r="B49" s="13">
        <v>-4.6007499999999997</v>
      </c>
      <c r="C49" s="3">
        <f t="shared" si="0"/>
        <v>-0.75000000000002842</v>
      </c>
      <c r="D49" s="10">
        <v>0.30107</v>
      </c>
      <c r="E49" s="10">
        <v>4.9016999999999999</v>
      </c>
      <c r="F49" s="10">
        <v>-4.6006</v>
      </c>
      <c r="H49" s="1">
        <v>-4.5999999999999996</v>
      </c>
      <c r="I49" s="10">
        <v>0.30108000000000001</v>
      </c>
      <c r="J49" s="10">
        <v>4.9016000000000002</v>
      </c>
      <c r="K49" s="10">
        <v>-4.6006</v>
      </c>
      <c r="L49" s="10">
        <v>-4.5997000000000003</v>
      </c>
    </row>
    <row r="50" spans="1:12" x14ac:dyDescent="0.3">
      <c r="A50" s="1">
        <v>-4.75</v>
      </c>
      <c r="B50" s="13">
        <v>-4.7510000000000003</v>
      </c>
      <c r="C50" s="3">
        <f t="shared" si="0"/>
        <v>-1.000000000000334</v>
      </c>
      <c r="D50" s="10">
        <v>0.22603000000000001</v>
      </c>
      <c r="E50" s="10">
        <v>4.9768999999999997</v>
      </c>
      <c r="F50" s="10">
        <v>-4.7508999999999997</v>
      </c>
      <c r="H50" s="1">
        <v>-4.75</v>
      </c>
      <c r="I50" s="10">
        <v>0.22603000000000001</v>
      </c>
      <c r="J50" s="10">
        <v>4.9767999999999999</v>
      </c>
      <c r="K50" s="10">
        <v>-4.7507999999999999</v>
      </c>
      <c r="L50" s="10">
        <v>-4.7499000000000002</v>
      </c>
    </row>
    <row r="51" spans="1:12" x14ac:dyDescent="0.3">
      <c r="A51" s="1">
        <v>-4.9000000000000004</v>
      </c>
      <c r="B51" s="13">
        <v>-4.9012799999999999</v>
      </c>
      <c r="C51" s="3">
        <f t="shared" si="0"/>
        <v>-1.2799999999995038</v>
      </c>
      <c r="D51" s="10">
        <v>0.15099000000000001</v>
      </c>
      <c r="E51" s="10">
        <v>5.0521000000000003</v>
      </c>
      <c r="F51" s="10">
        <v>-4.9010999999999996</v>
      </c>
      <c r="H51" s="1">
        <v>-4.9000000000000004</v>
      </c>
      <c r="I51" s="10">
        <v>0.15099000000000001</v>
      </c>
      <c r="J51" s="10">
        <v>5.0519999999999996</v>
      </c>
      <c r="K51" s="10">
        <v>-4.9010999999999996</v>
      </c>
      <c r="L51" s="10">
        <v>-4.9001999999999999</v>
      </c>
    </row>
    <row r="52" spans="1:12" x14ac:dyDescent="0.3">
      <c r="A52" s="1">
        <v>-5</v>
      </c>
      <c r="B52" s="13">
        <v>-5.0014000000000003</v>
      </c>
      <c r="C52" s="3">
        <f t="shared" si="0"/>
        <v>-1.4000000000002899</v>
      </c>
      <c r="D52" s="10">
        <v>0.10095999999999999</v>
      </c>
      <c r="E52" s="10">
        <v>5.1021999999999998</v>
      </c>
      <c r="F52" s="10">
        <v>-5.0012999999999996</v>
      </c>
      <c r="H52" s="1">
        <v>-5</v>
      </c>
      <c r="I52" s="10">
        <v>0.10095999999999999</v>
      </c>
      <c r="J52" s="10">
        <v>5.1021999999999998</v>
      </c>
      <c r="K52" s="10">
        <v>-5.0030999999999999</v>
      </c>
      <c r="L52" s="10">
        <v>-5.0003000000000002</v>
      </c>
    </row>
    <row r="53" spans="1:12" x14ac:dyDescent="0.3">
      <c r="A53" s="1">
        <v>-5.0999999999999996</v>
      </c>
      <c r="B53" s="13">
        <v>-5.0994200000000003</v>
      </c>
      <c r="C53" s="3">
        <f t="shared" si="0"/>
        <v>0.57999999999935881</v>
      </c>
      <c r="D53" s="10">
        <v>5.092E-2</v>
      </c>
      <c r="E53" s="10">
        <v>5.1508000000000003</v>
      </c>
      <c r="F53" s="10">
        <v>-5.0998999999999999</v>
      </c>
      <c r="H53" s="1">
        <v>-5.0999999999999996</v>
      </c>
      <c r="I53" s="10">
        <v>5.092E-2</v>
      </c>
      <c r="J53" s="10">
        <v>5.1506999999999996</v>
      </c>
      <c r="K53" s="10">
        <v>-5.0998000000000001</v>
      </c>
      <c r="L53" s="10">
        <v>-5.0989000000000004</v>
      </c>
    </row>
    <row r="54" spans="1:12" x14ac:dyDescent="0.3">
      <c r="A54" s="1">
        <v>-5.2</v>
      </c>
      <c r="B54" s="13">
        <v>-5.1414799999999996</v>
      </c>
      <c r="C54" s="3">
        <f t="shared" si="0"/>
        <v>58.520000000000572</v>
      </c>
      <c r="D54" s="10">
        <v>1.2600000000000001E-3</v>
      </c>
      <c r="E54" s="10">
        <v>5.1859999999999999</v>
      </c>
      <c r="F54" s="10">
        <v>-5.1848000000000001</v>
      </c>
      <c r="H54" s="1">
        <v>-5.2</v>
      </c>
      <c r="I54" s="10">
        <v>1.2600000000000001E-3</v>
      </c>
      <c r="J54" s="10">
        <v>5.1912000000000003</v>
      </c>
      <c r="K54" s="10">
        <v>-5.1898999999999997</v>
      </c>
      <c r="L54" s="10">
        <v>-5.1986999999999997</v>
      </c>
    </row>
    <row r="61" spans="1:12" x14ac:dyDescent="0.3">
      <c r="J61" s="1"/>
      <c r="K61" s="2"/>
    </row>
    <row r="62" spans="1:12" x14ac:dyDescent="0.3">
      <c r="J62" s="1"/>
      <c r="K62" s="2"/>
    </row>
    <row r="63" spans="1:12" x14ac:dyDescent="0.3">
      <c r="K63" s="2"/>
    </row>
    <row r="64" spans="1:12" x14ac:dyDescent="0.3">
      <c r="J64" s="1"/>
    </row>
  </sheetData>
  <mergeCells count="4">
    <mergeCell ref="B4:D4"/>
    <mergeCell ref="B5:D5"/>
    <mergeCell ref="A8:F8"/>
    <mergeCell ref="H8:L8"/>
  </mergeCells>
  <pageMargins left="0.7" right="0.7" top="0.78740157499999996" bottom="0.78740157499999996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Single-ended</vt:lpstr>
      <vt:lpstr>Fully Differential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Schule</dc:creator>
  <cp:lastModifiedBy>Simon Schule</cp:lastModifiedBy>
  <cp:lastPrinted>2020-06-23T11:48:45Z</cp:lastPrinted>
  <dcterms:created xsi:type="dcterms:W3CDTF">2020-06-08T07:35:06Z</dcterms:created>
  <dcterms:modified xsi:type="dcterms:W3CDTF">2020-07-31T06:44:34Z</dcterms:modified>
</cp:coreProperties>
</file>