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Bachelorarbeit\"/>
    </mc:Choice>
  </mc:AlternateContent>
  <xr:revisionPtr revIDLastSave="0" documentId="13_ncr:1_{5878F7CF-ADB8-4ECE-AB66-8335DEBA01F6}" xr6:coauthVersionLast="45" xr6:coauthVersionMax="45" xr10:uidLastSave="{00000000-0000-0000-0000-000000000000}"/>
  <bookViews>
    <workbookView xWindow="-108" yWindow="-108" windowWidth="23256" windowHeight="13176" activeTab="1" xr2:uid="{495E718F-06B1-4643-B7E0-98C6B6E2ABE9}"/>
  </bookViews>
  <sheets>
    <sheet name="Single-ended" sheetId="3" r:id="rId1"/>
    <sheet name="Fully Differenti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4" l="1"/>
  <c r="D9" i="4"/>
  <c r="D51" i="4"/>
  <c r="D52" i="4"/>
  <c r="D8" i="3"/>
  <c r="D9" i="3"/>
  <c r="D52" i="3"/>
  <c r="D51" i="3"/>
  <c r="D50" i="4" l="1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43" i="3" l="1"/>
  <c r="D42" i="3"/>
  <c r="D41" i="3"/>
  <c r="D18" i="3"/>
  <c r="D19" i="3"/>
  <c r="D17" i="3"/>
  <c r="D11" i="3" l="1"/>
  <c r="D12" i="3"/>
  <c r="D13" i="3"/>
  <c r="D14" i="3"/>
  <c r="D15" i="3"/>
  <c r="D16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4" i="3"/>
  <c r="D45" i="3"/>
  <c r="D46" i="3"/>
  <c r="D47" i="3"/>
  <c r="D48" i="3"/>
  <c r="D49" i="3"/>
  <c r="D50" i="3"/>
  <c r="D10" i="3"/>
</calcChain>
</file>

<file path=xl/sharedStrings.xml><?xml version="1.0" encoding="utf-8"?>
<sst xmlns="http://schemas.openxmlformats.org/spreadsheetml/2006/main" count="38" uniqueCount="22">
  <si>
    <t>In_P</t>
  </si>
  <si>
    <t>In_N</t>
  </si>
  <si>
    <t>Vout P to N</t>
  </si>
  <si>
    <t>GND</t>
  </si>
  <si>
    <t>abs deviation</t>
  </si>
  <si>
    <t>rel deviation</t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</si>
  <si>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</si>
  <si>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t>VCC+</t>
  </si>
  <si>
    <t>VCC-</t>
  </si>
  <si>
    <t>L = 100uH</t>
  </si>
  <si>
    <t>Buf_P to GND</t>
  </si>
  <si>
    <t>Buf_N to GND</t>
  </si>
  <si>
    <t>Buf_P to Buf_N</t>
  </si>
  <si>
    <r>
      <rPr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 measurements vary in 10uV scope</t>
    </r>
  </si>
  <si>
    <t>In P to N</t>
  </si>
  <si>
    <r>
      <t xml:space="preserve">Fully differential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</si>
  <si>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r>
      <t xml:space="preserve">Input: 100Ohm in series 100pF to GND,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</rPr>
      <t xml:space="preserve">5.2V by internal power supply </t>
    </r>
  </si>
  <si>
    <t>-5,203 V</t>
  </si>
  <si>
    <t>+5,196 V</t>
  </si>
  <si>
    <t>2,6V + V_in/2 (referenced to GND)</t>
  </si>
  <si>
    <t>2,6V - V_in/2 (referenced to GND)</t>
  </si>
  <si>
    <t>+5,1965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</si>
</sst>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\ &quot;mV&quot;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1" xfId="0" applyBorder="1"/>
    <xf numFmtId="2" fontId="0" fillId="0" borderId="2" xfId="0" applyNumberFormat="1" applyFill="1" applyBorder="1"/>
    <xf numFmtId="0" fontId="0" fillId="0" borderId="2" xfId="0" applyFill="1" applyBorder="1"/>
    <xf numFmtId="0" fontId="0" fillId="0" borderId="2" xfId="0" applyBorder="1"/>
    <xf numFmtId="165" fontId="0" fillId="0" borderId="2" xfId="0" applyNumberFormat="1" applyBorder="1"/>
    <xf numFmtId="0" fontId="0" fillId="0" borderId="0" xfId="0" applyFill="1" applyBorder="1"/>
    <xf numFmtId="0" fontId="0" fillId="0" borderId="1" xfId="0" quotePrefix="1" applyBorder="1"/>
    <xf numFmtId="0" fontId="0" fillId="0" borderId="0" xfId="0" quotePrefix="1"/>
    <xf numFmtId="166" fontId="0" fillId="0" borderId="0" xfId="0" applyNumberFormat="1"/>
    <xf numFmtId="166" fontId="0" fillId="0" borderId="2" xfId="0" applyNumberFormat="1" applyFill="1" applyBorder="1"/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'Single-ended'!$A$10:$A$50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xVal>
          <c:yVal>
            <c:numRef>
              <c:f>'Single-ended'!$B$10:$B$50</c:f>
              <c:numCache>
                <c:formatCode>0.0000</c:formatCode>
                <c:ptCount val="41"/>
                <c:pt idx="0">
                  <c:v>5.0011200000000002</c:v>
                </c:pt>
                <c:pt idx="1">
                  <c:v>4.9009999999999998</c:v>
                </c:pt>
                <c:pt idx="2">
                  <c:v>4.7511999999999999</c:v>
                </c:pt>
                <c:pt idx="3">
                  <c:v>4.60107</c:v>
                </c:pt>
                <c:pt idx="4">
                  <c:v>4.5009499999999996</c:v>
                </c:pt>
                <c:pt idx="5">
                  <c:v>4.4008700000000003</c:v>
                </c:pt>
                <c:pt idx="6">
                  <c:v>3.9998800000000001</c:v>
                </c:pt>
                <c:pt idx="7">
                  <c:v>3.74993</c:v>
                </c:pt>
                <c:pt idx="8">
                  <c:v>3.5000200000000001</c:v>
                </c:pt>
                <c:pt idx="9">
                  <c:v>3.2498</c:v>
                </c:pt>
                <c:pt idx="10">
                  <c:v>2.9998999999999998</c:v>
                </c:pt>
                <c:pt idx="11">
                  <c:v>1.9996</c:v>
                </c:pt>
                <c:pt idx="12">
                  <c:v>0.99965000000000004</c:v>
                </c:pt>
                <c:pt idx="13">
                  <c:v>0.74983999999999995</c:v>
                </c:pt>
                <c:pt idx="14">
                  <c:v>0.49967</c:v>
                </c:pt>
                <c:pt idx="15">
                  <c:v>0.24990000000000001</c:v>
                </c:pt>
                <c:pt idx="16">
                  <c:v>9.98E-2</c:v>
                </c:pt>
                <c:pt idx="17">
                  <c:v>4.9799999999999997E-2</c:v>
                </c:pt>
                <c:pt idx="18">
                  <c:v>1.9900000000000001E-2</c:v>
                </c:pt>
                <c:pt idx="19">
                  <c:v>9.9000000000000008E-3</c:v>
                </c:pt>
                <c:pt idx="20">
                  <c:v>1.8000000000000001E-4</c:v>
                </c:pt>
                <c:pt idx="21">
                  <c:v>-1.038E-2</c:v>
                </c:pt>
                <c:pt idx="22">
                  <c:v>-2.0459999999999999E-2</c:v>
                </c:pt>
                <c:pt idx="23">
                  <c:v>-5.0340000000000003E-2</c:v>
                </c:pt>
                <c:pt idx="24">
                  <c:v>-0.10038</c:v>
                </c:pt>
                <c:pt idx="25">
                  <c:v>-0.25047000000000003</c:v>
                </c:pt>
                <c:pt idx="26">
                  <c:v>-0.50024000000000002</c:v>
                </c:pt>
                <c:pt idx="27">
                  <c:v>-0.75039999999999996</c:v>
                </c:pt>
                <c:pt idx="28">
                  <c:v>-1.0001899999999999</c:v>
                </c:pt>
                <c:pt idx="29">
                  <c:v>-2.0001000000000002</c:v>
                </c:pt>
                <c:pt idx="30">
                  <c:v>-3.0004</c:v>
                </c:pt>
                <c:pt idx="31">
                  <c:v>-3.2503000000000002</c:v>
                </c:pt>
                <c:pt idx="32">
                  <c:v>-3.5005999999999999</c:v>
                </c:pt>
                <c:pt idx="33">
                  <c:v>-3.7504599999999999</c:v>
                </c:pt>
                <c:pt idx="34">
                  <c:v>-4.0003000000000002</c:v>
                </c:pt>
                <c:pt idx="35">
                  <c:v>-4.3997000000000002</c:v>
                </c:pt>
                <c:pt idx="36">
                  <c:v>-4.4997999999999996</c:v>
                </c:pt>
                <c:pt idx="37">
                  <c:v>-4.59992</c:v>
                </c:pt>
                <c:pt idx="38">
                  <c:v>-4.75007</c:v>
                </c:pt>
                <c:pt idx="39">
                  <c:v>-4.8998499999999998</c:v>
                </c:pt>
                <c:pt idx="40">
                  <c:v>-4.9999599999999997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5-4283-BE50-8DC85513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09128"/>
        <c:axId val="227613392"/>
      </c:scatterChart>
      <c:valAx>
        <c:axId val="22760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13392"/>
        <c:crosses val="autoZero"/>
        <c:crossBetween val="midCat"/>
      </c:valAx>
      <c:valAx>
        <c:axId val="2276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09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'Single-ended'!$A$10:$A$50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cat>
          <c:val>
            <c:numRef>
              <c:f>'Single-ended'!$D$10:$D$50</c:f>
              <c:numCache>
                <c:formatCode>0.00\ "mV"</c:formatCode>
                <c:ptCount val="41"/>
                <c:pt idx="0">
                  <c:v>1.1200000000002319</c:v>
                </c:pt>
                <c:pt idx="1">
                  <c:v>0.99999999999944578</c:v>
                </c:pt>
                <c:pt idx="2">
                  <c:v>1.1999999999998678</c:v>
                </c:pt>
                <c:pt idx="3">
                  <c:v>1.0700000000003485</c:v>
                </c:pt>
                <c:pt idx="4">
                  <c:v>0.94999999999956231</c:v>
                </c:pt>
                <c:pt idx="5">
                  <c:v>0.86999999999992639</c:v>
                </c:pt>
                <c:pt idx="6">
                  <c:v>-0.11999999999989797</c:v>
                </c:pt>
                <c:pt idx="7">
                  <c:v>-7.0000000000014495E-2</c:v>
                </c:pt>
                <c:pt idx="8">
                  <c:v>2.0000000000131024E-2</c:v>
                </c:pt>
                <c:pt idx="9">
                  <c:v>-0.19999999999997797</c:v>
                </c:pt>
                <c:pt idx="10">
                  <c:v>-0.10000000000021103</c:v>
                </c:pt>
                <c:pt idx="11">
                  <c:v>-0.39999999999995595</c:v>
                </c:pt>
                <c:pt idx="12">
                  <c:v>-0.34999999999996145</c:v>
                </c:pt>
                <c:pt idx="13">
                  <c:v>-0.16000000000004899</c:v>
                </c:pt>
                <c:pt idx="14">
                  <c:v>-0.32999999999999696</c:v>
                </c:pt>
                <c:pt idx="15">
                  <c:v>-9.9999999999988987E-2</c:v>
                </c:pt>
                <c:pt idx="16">
                  <c:v>-0.20000000000000573</c:v>
                </c:pt>
                <c:pt idx="17">
                  <c:v>-0.20000000000000573</c:v>
                </c:pt>
                <c:pt idx="18">
                  <c:v>-9.9999999999999395E-2</c:v>
                </c:pt>
                <c:pt idx="19">
                  <c:v>-9.9999999999999395E-2</c:v>
                </c:pt>
                <c:pt idx="20">
                  <c:v>0.18000000000000002</c:v>
                </c:pt>
                <c:pt idx="21">
                  <c:v>-0.38000000000000012</c:v>
                </c:pt>
                <c:pt idx="22">
                  <c:v>-0.45999999999999863</c:v>
                </c:pt>
                <c:pt idx="23">
                  <c:v>-0.34</c:v>
                </c:pt>
                <c:pt idx="24">
                  <c:v>-0.37999999999999146</c:v>
                </c:pt>
                <c:pt idx="25">
                  <c:v>-0.47000000000002595</c:v>
                </c:pt>
                <c:pt idx="26">
                  <c:v>-0.24000000000001798</c:v>
                </c:pt>
                <c:pt idx="27">
                  <c:v>-0.39999999999995595</c:v>
                </c:pt>
                <c:pt idx="28">
                  <c:v>-0.18999999999991246</c:v>
                </c:pt>
                <c:pt idx="29">
                  <c:v>-0.10000000000021103</c:v>
                </c:pt>
                <c:pt idx="30">
                  <c:v>-0.39999999999995595</c:v>
                </c:pt>
                <c:pt idx="31">
                  <c:v>-0.300000000000189</c:v>
                </c:pt>
                <c:pt idx="32">
                  <c:v>-0.59999999999993392</c:v>
                </c:pt>
                <c:pt idx="33">
                  <c:v>-0.45999999999990493</c:v>
                </c:pt>
                <c:pt idx="34">
                  <c:v>-0.300000000000189</c:v>
                </c:pt>
                <c:pt idx="35">
                  <c:v>0.300000000000189</c:v>
                </c:pt>
                <c:pt idx="36">
                  <c:v>0.20000000000042206</c:v>
                </c:pt>
                <c:pt idx="37">
                  <c:v>7.9999999999635918E-2</c:v>
                </c:pt>
                <c:pt idx="38">
                  <c:v>-7.0000000000014495E-2</c:v>
                </c:pt>
                <c:pt idx="39">
                  <c:v>0.15000000000053859</c:v>
                </c:pt>
                <c:pt idx="40">
                  <c:v>4.0000000000262048E-2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0-4656-B00F-9AF32D91D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485952"/>
        <c:axId val="230486280"/>
      </c:barChart>
      <c:catAx>
        <c:axId val="2304859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6280"/>
        <c:crosses val="autoZero"/>
        <c:auto val="1"/>
        <c:lblAlgn val="ctr"/>
        <c:lblOffset val="100"/>
        <c:noMultiLvlLbl val="0"/>
      </c:catAx>
      <c:valAx>
        <c:axId val="23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Fully differential with 2.5V common mode 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'Fully Differential'!$A$10:$A$50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xVal>
          <c:yVal>
            <c:numRef>
              <c:f>'Fully Differential'!$B$10:$B$50</c:f>
              <c:numCache>
                <c:formatCode>0.0000</c:formatCode>
                <c:ptCount val="41"/>
                <c:pt idx="0">
                  <c:v>5.0019200000000001</c:v>
                </c:pt>
                <c:pt idx="1">
                  <c:v>4.9017499999999998</c:v>
                </c:pt>
                <c:pt idx="2">
                  <c:v>4.7514599999999998</c:v>
                </c:pt>
                <c:pt idx="3">
                  <c:v>4.6011499999999996</c:v>
                </c:pt>
                <c:pt idx="4">
                  <c:v>4.5025500000000003</c:v>
                </c:pt>
                <c:pt idx="5">
                  <c:v>4.4023599999999998</c:v>
                </c:pt>
                <c:pt idx="6">
                  <c:v>4.0019799999999996</c:v>
                </c:pt>
                <c:pt idx="7">
                  <c:v>3.7514799999999999</c:v>
                </c:pt>
                <c:pt idx="8">
                  <c:v>3.50136</c:v>
                </c:pt>
                <c:pt idx="9">
                  <c:v>3.2523</c:v>
                </c:pt>
                <c:pt idx="10">
                  <c:v>3.0012500000000002</c:v>
                </c:pt>
                <c:pt idx="11">
                  <c:v>2.0009999999999999</c:v>
                </c:pt>
                <c:pt idx="12">
                  <c:v>0.99990999999999997</c:v>
                </c:pt>
                <c:pt idx="13">
                  <c:v>0.751</c:v>
                </c:pt>
                <c:pt idx="14">
                  <c:v>0.50053999999999998</c:v>
                </c:pt>
                <c:pt idx="15">
                  <c:v>0.25040000000000001</c:v>
                </c:pt>
                <c:pt idx="16">
                  <c:v>0.10013</c:v>
                </c:pt>
                <c:pt idx="17">
                  <c:v>5.0040000000000001E-2</c:v>
                </c:pt>
                <c:pt idx="18">
                  <c:v>2.0979999999999999E-2</c:v>
                </c:pt>
                <c:pt idx="19">
                  <c:v>9.4999999999999998E-3</c:v>
                </c:pt>
                <c:pt idx="20">
                  <c:v>5.0000000000000002E-5</c:v>
                </c:pt>
                <c:pt idx="21">
                  <c:v>-9.58E-3</c:v>
                </c:pt>
                <c:pt idx="22">
                  <c:v>-1.951E-2</c:v>
                </c:pt>
                <c:pt idx="23">
                  <c:v>-5.0139999999999997E-2</c:v>
                </c:pt>
                <c:pt idx="24">
                  <c:v>-0.10025000000000001</c:v>
                </c:pt>
                <c:pt idx="25">
                  <c:v>-0.24898999999999999</c:v>
                </c:pt>
                <c:pt idx="26">
                  <c:v>-0.49906</c:v>
                </c:pt>
                <c:pt idx="27">
                  <c:v>-0.74953999999999998</c:v>
                </c:pt>
                <c:pt idx="28">
                  <c:v>-1.00003</c:v>
                </c:pt>
                <c:pt idx="29">
                  <c:v>-2.0001000000000002</c:v>
                </c:pt>
                <c:pt idx="30">
                  <c:v>-2.9998</c:v>
                </c:pt>
                <c:pt idx="31">
                  <c:v>-3.2505999999999999</c:v>
                </c:pt>
                <c:pt idx="32">
                  <c:v>-3.5011999999999999</c:v>
                </c:pt>
                <c:pt idx="33">
                  <c:v>-3.7512300000000001</c:v>
                </c:pt>
                <c:pt idx="34">
                  <c:v>-4</c:v>
                </c:pt>
                <c:pt idx="35">
                  <c:v>-4.4007800000000001</c:v>
                </c:pt>
                <c:pt idx="36">
                  <c:v>-4.5006000000000004</c:v>
                </c:pt>
                <c:pt idx="37">
                  <c:v>-4.6007499999999997</c:v>
                </c:pt>
                <c:pt idx="38">
                  <c:v>-4.7510000000000003</c:v>
                </c:pt>
                <c:pt idx="39">
                  <c:v>-4.9012799999999999</c:v>
                </c:pt>
                <c:pt idx="40">
                  <c:v>-5.0014000000000003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D-4E63-8EBC-913541F1D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156896"/>
        <c:axId val="283162800"/>
      </c:scatterChart>
      <c:valAx>
        <c:axId val="28315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3162800"/>
        <c:crosses val="autoZero"/>
        <c:crossBetween val="midCat"/>
      </c:valAx>
      <c:valAx>
        <c:axId val="2831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315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'Fully Differential'!$A$10:$A$50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cat>
          <c:val>
            <c:numRef>
              <c:f>'Fully Differential'!$D$10:$D$50</c:f>
              <c:numCache>
                <c:formatCode>0.00\ "mV"</c:formatCode>
                <c:ptCount val="41"/>
                <c:pt idx="0">
                  <c:v>1.9200000000001438</c:v>
                </c:pt>
                <c:pt idx="1">
                  <c:v>1.7499999999994742</c:v>
                </c:pt>
                <c:pt idx="2">
                  <c:v>1.4599999999997948</c:v>
                </c:pt>
                <c:pt idx="3">
                  <c:v>1.1499999999999844</c:v>
                </c:pt>
                <c:pt idx="4">
                  <c:v>2.5500000000002743</c:v>
                </c:pt>
                <c:pt idx="5">
                  <c:v>2.3599999999994736</c:v>
                </c:pt>
                <c:pt idx="6">
                  <c:v>1.9799999999996487</c:v>
                </c:pt>
                <c:pt idx="7">
                  <c:v>1.4799999999999258</c:v>
                </c:pt>
                <c:pt idx="8">
                  <c:v>1.3600000000000279</c:v>
                </c:pt>
                <c:pt idx="9">
                  <c:v>2.2999999999999687</c:v>
                </c:pt>
                <c:pt idx="10">
                  <c:v>1.2500000000001954</c:v>
                </c:pt>
                <c:pt idx="11">
                  <c:v>0.99999999999988987</c:v>
                </c:pt>
                <c:pt idx="12">
                  <c:v>-9.0000000000034497E-2</c:v>
                </c:pt>
                <c:pt idx="13">
                  <c:v>1.0000000000000009</c:v>
                </c:pt>
                <c:pt idx="14">
                  <c:v>0.53999999999998494</c:v>
                </c:pt>
                <c:pt idx="15">
                  <c:v>0.40000000000001146</c:v>
                </c:pt>
                <c:pt idx="16">
                  <c:v>0.12999999999999123</c:v>
                </c:pt>
                <c:pt idx="17">
                  <c:v>3.999999999999837E-2</c:v>
                </c:pt>
                <c:pt idx="18">
                  <c:v>0.97999999999999821</c:v>
                </c:pt>
                <c:pt idx="19">
                  <c:v>-0.50000000000000044</c:v>
                </c:pt>
                <c:pt idx="20">
                  <c:v>0.05</c:v>
                </c:pt>
                <c:pt idx="21">
                  <c:v>0.42000000000000026</c:v>
                </c:pt>
                <c:pt idx="22">
                  <c:v>0.49000000000000088</c:v>
                </c:pt>
                <c:pt idx="23">
                  <c:v>-0.1399999999999943</c:v>
                </c:pt>
                <c:pt idx="24">
                  <c:v>-0.25000000000000022</c:v>
                </c:pt>
                <c:pt idx="25">
                  <c:v>1.0100000000000109</c:v>
                </c:pt>
                <c:pt idx="26">
                  <c:v>0.93999999999999639</c:v>
                </c:pt>
                <c:pt idx="27">
                  <c:v>0.46000000000001595</c:v>
                </c:pt>
                <c:pt idx="28">
                  <c:v>-2.9999999999974492E-2</c:v>
                </c:pt>
                <c:pt idx="29">
                  <c:v>-0.10000000000021103</c:v>
                </c:pt>
                <c:pt idx="30">
                  <c:v>0.19999999999997797</c:v>
                </c:pt>
                <c:pt idx="31">
                  <c:v>-0.59999999999993392</c:v>
                </c:pt>
                <c:pt idx="32">
                  <c:v>-1.1999999999998678</c:v>
                </c:pt>
                <c:pt idx="33">
                  <c:v>-1.2300000000000644</c:v>
                </c:pt>
                <c:pt idx="34">
                  <c:v>0</c:v>
                </c:pt>
                <c:pt idx="35">
                  <c:v>-0.77999999999978087</c:v>
                </c:pt>
                <c:pt idx="36">
                  <c:v>-0.60000000000037801</c:v>
                </c:pt>
                <c:pt idx="37">
                  <c:v>-0.75000000000002842</c:v>
                </c:pt>
                <c:pt idx="38">
                  <c:v>-1.000000000000334</c:v>
                </c:pt>
                <c:pt idx="39">
                  <c:v>-1.2799999999995038</c:v>
                </c:pt>
                <c:pt idx="40">
                  <c:v>-1.4000000000002899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2-4B4C-BE5A-DE2CEA09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71568"/>
        <c:axId val="61371896"/>
      </c:barChart>
      <c:catAx>
        <c:axId val="613715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71896"/>
        <c:crosses val="autoZero"/>
        <c:auto val="1"/>
        <c:lblAlgn val="ctr"/>
        <c:lblOffset val="100"/>
        <c:noMultiLvlLbl val="0"/>
      </c:catAx>
      <c:valAx>
        <c:axId val="6137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7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signal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In_P to In_N</c:v>
          </c:tx>
          <c:spPr>
            <a:ln w="28575" cap="rnd">
              <a:solidFill>
                <a:schemeClr val="bg2">
                  <a:lumMod val="9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'Fully Differential'!$A$10:$A$50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cat>
          <c:val>
            <c:numRef>
              <c:f>'Fully Differential'!$A$10:$A$50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9-47E3-A4C8-2D2E82C278D6}"/>
            </c:ext>
          </c:extLst>
        </c:ser>
        <c:ser>
          <c:idx val="1"/>
          <c:order val="1"/>
          <c:tx>
            <c:v>Vout_P to Vout_N</c:v>
          </c:tx>
          <c:spPr>
            <a:ln w="38100" cap="flat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'Fully Differential'!$A$10:$A$50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cat>
          <c:val>
            <c:numRef>
              <c:f>'Fully Differential'!$B$10:$B$50</c:f>
              <c:numCache>
                <c:formatCode>0.0000</c:formatCode>
                <c:ptCount val="41"/>
                <c:pt idx="0">
                  <c:v>5.0019200000000001</c:v>
                </c:pt>
                <c:pt idx="1">
                  <c:v>4.9017499999999998</c:v>
                </c:pt>
                <c:pt idx="2">
                  <c:v>4.7514599999999998</c:v>
                </c:pt>
                <c:pt idx="3">
                  <c:v>4.6011499999999996</c:v>
                </c:pt>
                <c:pt idx="4">
                  <c:v>4.5025500000000003</c:v>
                </c:pt>
                <c:pt idx="5">
                  <c:v>4.4023599999999998</c:v>
                </c:pt>
                <c:pt idx="6">
                  <c:v>4.0019799999999996</c:v>
                </c:pt>
                <c:pt idx="7">
                  <c:v>3.7514799999999999</c:v>
                </c:pt>
                <c:pt idx="8">
                  <c:v>3.50136</c:v>
                </c:pt>
                <c:pt idx="9">
                  <c:v>3.2523</c:v>
                </c:pt>
                <c:pt idx="10">
                  <c:v>3.0012500000000002</c:v>
                </c:pt>
                <c:pt idx="11">
                  <c:v>2.0009999999999999</c:v>
                </c:pt>
                <c:pt idx="12">
                  <c:v>0.99990999999999997</c:v>
                </c:pt>
                <c:pt idx="13">
                  <c:v>0.751</c:v>
                </c:pt>
                <c:pt idx="14">
                  <c:v>0.50053999999999998</c:v>
                </c:pt>
                <c:pt idx="15">
                  <c:v>0.25040000000000001</c:v>
                </c:pt>
                <c:pt idx="16">
                  <c:v>0.10013</c:v>
                </c:pt>
                <c:pt idx="17">
                  <c:v>5.0040000000000001E-2</c:v>
                </c:pt>
                <c:pt idx="18">
                  <c:v>2.0979999999999999E-2</c:v>
                </c:pt>
                <c:pt idx="19">
                  <c:v>9.4999999999999998E-3</c:v>
                </c:pt>
                <c:pt idx="20">
                  <c:v>5.0000000000000002E-5</c:v>
                </c:pt>
                <c:pt idx="21">
                  <c:v>-9.58E-3</c:v>
                </c:pt>
                <c:pt idx="22">
                  <c:v>-1.951E-2</c:v>
                </c:pt>
                <c:pt idx="23">
                  <c:v>-5.0139999999999997E-2</c:v>
                </c:pt>
                <c:pt idx="24">
                  <c:v>-0.10025000000000001</c:v>
                </c:pt>
                <c:pt idx="25">
                  <c:v>-0.24898999999999999</c:v>
                </c:pt>
                <c:pt idx="26">
                  <c:v>-0.49906</c:v>
                </c:pt>
                <c:pt idx="27">
                  <c:v>-0.74953999999999998</c:v>
                </c:pt>
                <c:pt idx="28">
                  <c:v>-1.00003</c:v>
                </c:pt>
                <c:pt idx="29">
                  <c:v>-2.0001000000000002</c:v>
                </c:pt>
                <c:pt idx="30">
                  <c:v>-2.9998</c:v>
                </c:pt>
                <c:pt idx="31">
                  <c:v>-3.2505999999999999</c:v>
                </c:pt>
                <c:pt idx="32">
                  <c:v>-3.5011999999999999</c:v>
                </c:pt>
                <c:pt idx="33">
                  <c:v>-3.7512300000000001</c:v>
                </c:pt>
                <c:pt idx="34">
                  <c:v>-4</c:v>
                </c:pt>
                <c:pt idx="35">
                  <c:v>-4.4007800000000001</c:v>
                </c:pt>
                <c:pt idx="36">
                  <c:v>-4.5006000000000004</c:v>
                </c:pt>
                <c:pt idx="37">
                  <c:v>-4.6007499999999997</c:v>
                </c:pt>
                <c:pt idx="38">
                  <c:v>-4.7510000000000003</c:v>
                </c:pt>
                <c:pt idx="39">
                  <c:v>-4.9012799999999999</c:v>
                </c:pt>
                <c:pt idx="40">
                  <c:v>-5.0014000000000003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9-47E3-A4C8-2D2E82C278D6}"/>
            </c:ext>
          </c:extLst>
        </c:ser>
        <c:ser>
          <c:idx val="2"/>
          <c:order val="2"/>
          <c:tx>
            <c:v>Buf_P to Buf_N</c:v>
          </c:tx>
          <c:spPr>
            <a:ln w="381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'Fully Differential'!$I$10:$I$50</c:f>
              <c:numCache>
                <c:formatCode>General</c:formatCode>
                <c:ptCount val="41"/>
                <c:pt idx="0">
                  <c:v>5.0021000000000004</c:v>
                </c:pt>
                <c:pt idx="1">
                  <c:v>4.9019000000000004</c:v>
                </c:pt>
                <c:pt idx="2">
                  <c:v>4.7516999999999996</c:v>
                </c:pt>
                <c:pt idx="3">
                  <c:v>4.6013000000000002</c:v>
                </c:pt>
                <c:pt idx="4">
                  <c:v>4.5026999999999999</c:v>
                </c:pt>
                <c:pt idx="5">
                  <c:v>4.4024999999999999</c:v>
                </c:pt>
                <c:pt idx="6">
                  <c:v>4.0021000000000004</c:v>
                </c:pt>
                <c:pt idx="7">
                  <c:v>3.7517</c:v>
                </c:pt>
                <c:pt idx="8">
                  <c:v>3.5021</c:v>
                </c:pt>
                <c:pt idx="9">
                  <c:v>3.2524999999999999</c:v>
                </c:pt>
                <c:pt idx="10">
                  <c:v>3.0013999999999998</c:v>
                </c:pt>
                <c:pt idx="11">
                  <c:v>2.0011999999999999</c:v>
                </c:pt>
                <c:pt idx="12">
                  <c:v>1.0000500000000001</c:v>
                </c:pt>
                <c:pt idx="13">
                  <c:v>0.75114000000000003</c:v>
                </c:pt>
                <c:pt idx="14">
                  <c:v>0.50070000000000003</c:v>
                </c:pt>
                <c:pt idx="15">
                  <c:v>0.25056</c:v>
                </c:pt>
                <c:pt idx="16">
                  <c:v>0.10029</c:v>
                </c:pt>
                <c:pt idx="17">
                  <c:v>5.0189999999999999E-2</c:v>
                </c:pt>
                <c:pt idx="18">
                  <c:v>2.1129999999999999E-2</c:v>
                </c:pt>
                <c:pt idx="19">
                  <c:v>9.6399999999999993E-3</c:v>
                </c:pt>
                <c:pt idx="20">
                  <c:v>1E-4</c:v>
                </c:pt>
                <c:pt idx="21">
                  <c:v>-9.4599999999999997E-3</c:v>
                </c:pt>
                <c:pt idx="22">
                  <c:v>-1.9400000000000001E-2</c:v>
                </c:pt>
                <c:pt idx="23">
                  <c:v>-0.05</c:v>
                </c:pt>
                <c:pt idx="24">
                  <c:v>-0.10009999999999999</c:v>
                </c:pt>
                <c:pt idx="25">
                  <c:v>-0.24883</c:v>
                </c:pt>
                <c:pt idx="26">
                  <c:v>-0.49892999999999998</c:v>
                </c:pt>
                <c:pt idx="27">
                  <c:v>-0.74939999999999996</c:v>
                </c:pt>
                <c:pt idx="28">
                  <c:v>-0.99987999999999999</c:v>
                </c:pt>
                <c:pt idx="29">
                  <c:v>-2</c:v>
                </c:pt>
                <c:pt idx="30">
                  <c:v>-2.9996</c:v>
                </c:pt>
                <c:pt idx="31">
                  <c:v>-3.2504</c:v>
                </c:pt>
                <c:pt idx="32">
                  <c:v>-3.5009999999999999</c:v>
                </c:pt>
                <c:pt idx="33">
                  <c:v>-3.7511000000000001</c:v>
                </c:pt>
                <c:pt idx="34">
                  <c:v>-4</c:v>
                </c:pt>
                <c:pt idx="35">
                  <c:v>-4.4006999999999996</c:v>
                </c:pt>
                <c:pt idx="36">
                  <c:v>-4.5004999999999997</c:v>
                </c:pt>
                <c:pt idx="37">
                  <c:v>-4.6006</c:v>
                </c:pt>
                <c:pt idx="38">
                  <c:v>-4.7508999999999997</c:v>
                </c:pt>
                <c:pt idx="39">
                  <c:v>-4.9010999999999996</c:v>
                </c:pt>
                <c:pt idx="40">
                  <c:v>-5.0012999999999996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39-47E3-A4C8-2D2E82C27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83704"/>
        <c:axId val="170086328"/>
      </c:lineChart>
      <c:catAx>
        <c:axId val="17008370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086328"/>
        <c:crosses val="autoZero"/>
        <c:auto val="1"/>
        <c:lblAlgn val="ctr"/>
        <c:lblOffset val="100"/>
        <c:noMultiLvlLbl val="0"/>
      </c:catAx>
      <c:valAx>
        <c:axId val="17008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08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In_P to In_N</c:v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'Fully Differential'!$A$10:$A$20</c:f>
              <c:numCache>
                <c:formatCode>0.00</c:formatCode>
                <c:ptCount val="1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</c:numCache>
            </c:numRef>
          </c:cat>
          <c:val>
            <c:numRef>
              <c:f>'Fully Differential'!$A$10:$A$16</c:f>
              <c:numCache>
                <c:formatCode>0.00</c:formatCode>
                <c:ptCount val="7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D-4154-A20E-9CB460FE2CCC}"/>
            </c:ext>
          </c:extLst>
        </c:ser>
        <c:ser>
          <c:idx val="1"/>
          <c:order val="1"/>
          <c:tx>
            <c:v>Vout_P to Vout_N</c:v>
          </c:tx>
          <c:spPr>
            <a:ln w="38100" cap="flat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'Fully Differential'!$A$10:$A$20</c:f>
              <c:numCache>
                <c:formatCode>0.00</c:formatCode>
                <c:ptCount val="1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</c:numCache>
            </c:numRef>
          </c:cat>
          <c:val>
            <c:numRef>
              <c:f>'Fully Differential'!$B$10:$B$16</c:f>
              <c:numCache>
                <c:formatCode>0.0000</c:formatCode>
                <c:ptCount val="7"/>
                <c:pt idx="0">
                  <c:v>5.0019200000000001</c:v>
                </c:pt>
                <c:pt idx="1">
                  <c:v>4.9017499999999998</c:v>
                </c:pt>
                <c:pt idx="2">
                  <c:v>4.7514599999999998</c:v>
                </c:pt>
                <c:pt idx="3">
                  <c:v>4.6011499999999996</c:v>
                </c:pt>
                <c:pt idx="4">
                  <c:v>4.5025500000000003</c:v>
                </c:pt>
                <c:pt idx="5">
                  <c:v>4.4023599999999998</c:v>
                </c:pt>
                <c:pt idx="6">
                  <c:v>4.0019799999999996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D-4154-A20E-9CB460FE2CCC}"/>
            </c:ext>
          </c:extLst>
        </c:ser>
        <c:ser>
          <c:idx val="2"/>
          <c:order val="2"/>
          <c:tx>
            <c:v>Buf_P to Buf_N</c:v>
          </c:tx>
          <c:spPr>
            <a:ln w="381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'Fully Differential'!$I$10:$I$16</c:f>
              <c:numCache>
                <c:formatCode>General</c:formatCode>
                <c:ptCount val="7"/>
                <c:pt idx="0">
                  <c:v>5.0021000000000004</c:v>
                </c:pt>
                <c:pt idx="1">
                  <c:v>4.9019000000000004</c:v>
                </c:pt>
                <c:pt idx="2">
                  <c:v>4.7516999999999996</c:v>
                </c:pt>
                <c:pt idx="3">
                  <c:v>4.6013000000000002</c:v>
                </c:pt>
                <c:pt idx="4">
                  <c:v>4.5026999999999999</c:v>
                </c:pt>
                <c:pt idx="5">
                  <c:v>4.4024999999999999</c:v>
                </c:pt>
                <c:pt idx="6">
                  <c:v>4.0021000000000004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1D-4154-A20E-9CB460FE2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276584"/>
        <c:axId val="602277896"/>
      </c:lineChart>
      <c:catAx>
        <c:axId val="60227658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277896"/>
        <c:crosses val="autoZero"/>
        <c:auto val="1"/>
        <c:lblAlgn val="ctr"/>
        <c:lblOffset val="100"/>
        <c:noMultiLvlLbl val="0"/>
      </c:catAx>
      <c:valAx>
        <c:axId val="602277896"/>
        <c:scaling>
          <c:orientation val="minMax"/>
          <c:max val="5.0999999999999996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27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3979</xdr:colOff>
      <xdr:row>6</xdr:row>
      <xdr:rowOff>5800</xdr:rowOff>
    </xdr:from>
    <xdr:to>
      <xdr:col>18</xdr:col>
      <xdr:colOff>787865</xdr:colOff>
      <xdr:row>26</xdr:row>
      <xdr:rowOff>177071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A9FDE8F-4899-414E-9A0F-C3EC4F74F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3302</xdr:colOff>
      <xdr:row>28</xdr:row>
      <xdr:rowOff>4497</xdr:rowOff>
    </xdr:from>
    <xdr:to>
      <xdr:col>18</xdr:col>
      <xdr:colOff>0</xdr:colOff>
      <xdr:row>44</xdr:row>
      <xdr:rowOff>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DA23F80-02E3-4A23-A779-692B8561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3663</xdr:colOff>
      <xdr:row>6</xdr:row>
      <xdr:rowOff>4762</xdr:rowOff>
    </xdr:from>
    <xdr:to>
      <xdr:col>19</xdr:col>
      <xdr:colOff>0</xdr:colOff>
      <xdr:row>27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9AB6E7C-D5CA-49A3-A996-28AE0E1F0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6802</xdr:colOff>
      <xdr:row>28</xdr:row>
      <xdr:rowOff>3402</xdr:rowOff>
    </xdr:from>
    <xdr:to>
      <xdr:col>18</xdr:col>
      <xdr:colOff>5442</xdr:colOff>
      <xdr:row>44</xdr:row>
      <xdr:rowOff>5443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AC00F00-8D3A-4800-8E6D-370ECB83B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6839</xdr:colOff>
      <xdr:row>45</xdr:row>
      <xdr:rowOff>5211</xdr:rowOff>
    </xdr:from>
    <xdr:to>
      <xdr:col>21</xdr:col>
      <xdr:colOff>5862</xdr:colOff>
      <xdr:row>79</xdr:row>
      <xdr:rowOff>1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A7110C15-7265-404A-818E-98AF4D736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590385</xdr:colOff>
      <xdr:row>49</xdr:row>
      <xdr:rowOff>168033</xdr:rowOff>
    </xdr:from>
    <xdr:to>
      <xdr:col>20</xdr:col>
      <xdr:colOff>668867</xdr:colOff>
      <xdr:row>61</xdr:row>
      <xdr:rowOff>160867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B83746B6-0277-4E38-8E92-D692F332F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6574-8C9B-4754-AD58-B3B86AFA5838}">
  <dimension ref="A1:M52"/>
  <sheetViews>
    <sheetView zoomScale="80" zoomScaleNormal="80" workbookViewId="0">
      <selection activeCell="U10" sqref="U10"/>
    </sheetView>
  </sheetViews>
  <sheetFormatPr baseColWidth="10" defaultRowHeight="14.4" x14ac:dyDescent="0.3"/>
  <cols>
    <col min="4" max="5" width="13.77734375" customWidth="1"/>
    <col min="7" max="9" width="13.77734375" customWidth="1"/>
  </cols>
  <sheetData>
    <row r="1" spans="1:13" x14ac:dyDescent="0.3">
      <c r="A1" s="5" t="s">
        <v>6</v>
      </c>
      <c r="B1" s="5"/>
      <c r="C1" s="5"/>
      <c r="D1" s="5"/>
      <c r="E1" s="5"/>
      <c r="G1" s="6" t="s">
        <v>7</v>
      </c>
      <c r="H1" s="12" t="s">
        <v>18</v>
      </c>
    </row>
    <row r="2" spans="1:13" x14ac:dyDescent="0.3">
      <c r="A2" s="5" t="s">
        <v>16</v>
      </c>
      <c r="B2" s="5"/>
      <c r="C2" s="5"/>
      <c r="D2" s="5"/>
      <c r="E2" s="5"/>
      <c r="G2" s="6" t="s">
        <v>8</v>
      </c>
      <c r="H2" s="12" t="s">
        <v>17</v>
      </c>
      <c r="I2" s="13" t="s">
        <v>9</v>
      </c>
      <c r="M2" t="s">
        <v>13</v>
      </c>
    </row>
    <row r="4" spans="1:13" x14ac:dyDescent="0.3">
      <c r="A4" s="6" t="s">
        <v>0</v>
      </c>
      <c r="B4" s="6" t="s">
        <v>0</v>
      </c>
    </row>
    <row r="5" spans="1:13" x14ac:dyDescent="0.3">
      <c r="A5" s="6" t="s">
        <v>1</v>
      </c>
      <c r="B5" s="6" t="s">
        <v>3</v>
      </c>
    </row>
    <row r="7" spans="1:13" x14ac:dyDescent="0.3">
      <c r="A7" s="4" t="s">
        <v>0</v>
      </c>
      <c r="B7" s="4" t="s">
        <v>2</v>
      </c>
      <c r="C7" s="4"/>
      <c r="D7" s="4" t="s">
        <v>4</v>
      </c>
      <c r="E7" s="4" t="s">
        <v>5</v>
      </c>
      <c r="F7" s="4"/>
      <c r="G7" s="4" t="s">
        <v>10</v>
      </c>
      <c r="H7" s="4" t="s">
        <v>11</v>
      </c>
      <c r="I7" s="4" t="s">
        <v>12</v>
      </c>
    </row>
    <row r="8" spans="1:13" x14ac:dyDescent="0.3">
      <c r="A8" s="1">
        <v>5.2</v>
      </c>
      <c r="B8">
        <v>5.1421400000000004</v>
      </c>
      <c r="D8" s="3">
        <f t="shared" ref="D8:D9" si="0" xml:space="preserve"> PRODUCT(B8-A8, 1000)</f>
        <v>-57.8599999999998</v>
      </c>
      <c r="G8">
        <v>5.1856</v>
      </c>
      <c r="H8">
        <v>8.0099999999999995E-4</v>
      </c>
      <c r="I8">
        <v>5.1848000000000001</v>
      </c>
    </row>
    <row r="9" spans="1:13" x14ac:dyDescent="0.3">
      <c r="A9" s="1">
        <v>5.0999999999999996</v>
      </c>
      <c r="B9">
        <v>5.1009700000000002</v>
      </c>
      <c r="D9" s="3">
        <f t="shared" si="0"/>
        <v>0.97000000000058151</v>
      </c>
      <c r="G9">
        <v>5.1021999999999998</v>
      </c>
      <c r="H9">
        <v>8.0199999999999998E-4</v>
      </c>
      <c r="I9">
        <v>5.1013999999999999</v>
      </c>
    </row>
    <row r="10" spans="1:13" x14ac:dyDescent="0.3">
      <c r="A10" s="1">
        <v>5</v>
      </c>
      <c r="B10" s="14">
        <v>5.0011200000000002</v>
      </c>
      <c r="D10" s="3">
        <f xml:space="preserve"> PRODUCT(B10-A10, 1000)</f>
        <v>1.1200000000002319</v>
      </c>
      <c r="G10">
        <v>5.0021000000000004</v>
      </c>
      <c r="H10">
        <v>8.03E-4</v>
      </c>
      <c r="I10">
        <v>5.0012999999999996</v>
      </c>
    </row>
    <row r="11" spans="1:13" x14ac:dyDescent="0.3">
      <c r="A11" s="1">
        <v>4.9000000000000004</v>
      </c>
      <c r="B11" s="14">
        <v>4.9009999999999998</v>
      </c>
      <c r="D11" s="3">
        <f t="shared" ref="D11:D19" si="1" xml:space="preserve"> PRODUCT(B11-A11, 1000)</f>
        <v>0.99999999999944578</v>
      </c>
      <c r="G11">
        <v>4.9020000000000001</v>
      </c>
      <c r="H11">
        <v>8.0400000000000003E-4</v>
      </c>
      <c r="I11">
        <v>4.9012000000000002</v>
      </c>
    </row>
    <row r="12" spans="1:13" x14ac:dyDescent="0.3">
      <c r="A12" s="1">
        <v>4.75</v>
      </c>
      <c r="B12" s="14">
        <v>4.7511999999999999</v>
      </c>
      <c r="D12" s="3">
        <f t="shared" si="1"/>
        <v>1.1999999999998678</v>
      </c>
      <c r="G12">
        <v>4.7522000000000002</v>
      </c>
      <c r="H12">
        <v>8.03E-4</v>
      </c>
      <c r="I12">
        <v>4.7514000000000003</v>
      </c>
    </row>
    <row r="13" spans="1:13" x14ac:dyDescent="0.3">
      <c r="A13" s="1">
        <v>4.5999999999999996</v>
      </c>
      <c r="B13" s="14">
        <v>4.60107</v>
      </c>
      <c r="D13" s="3">
        <f t="shared" si="1"/>
        <v>1.0700000000003485</v>
      </c>
      <c r="G13">
        <v>4.6020000000000003</v>
      </c>
      <c r="H13">
        <v>8.03E-4</v>
      </c>
      <c r="I13">
        <v>4.6013000000000002</v>
      </c>
    </row>
    <row r="14" spans="1:13" x14ac:dyDescent="0.3">
      <c r="A14" s="1">
        <v>4.5</v>
      </c>
      <c r="B14" s="14">
        <v>4.5009499999999996</v>
      </c>
      <c r="D14" s="3">
        <f t="shared" si="1"/>
        <v>0.94999999999956231</v>
      </c>
      <c r="G14">
        <v>4.5019</v>
      </c>
      <c r="H14">
        <v>8.0099999999999995E-4</v>
      </c>
      <c r="I14">
        <v>4.5019999999999998</v>
      </c>
    </row>
    <row r="15" spans="1:13" x14ac:dyDescent="0.3">
      <c r="A15" s="1">
        <v>4.4000000000000004</v>
      </c>
      <c r="B15" s="14">
        <v>4.4008700000000003</v>
      </c>
      <c r="D15" s="3">
        <f t="shared" si="1"/>
        <v>0.86999999999992639</v>
      </c>
      <c r="G15">
        <v>4.4017999999999997</v>
      </c>
      <c r="H15">
        <v>8.0199999999999998E-4</v>
      </c>
      <c r="I15">
        <v>4.4009999999999998</v>
      </c>
    </row>
    <row r="16" spans="1:13" x14ac:dyDescent="0.3">
      <c r="A16" s="1">
        <v>4</v>
      </c>
      <c r="B16" s="14">
        <v>3.9998800000000001</v>
      </c>
      <c r="D16" s="3">
        <f t="shared" si="1"/>
        <v>-0.11999999999989797</v>
      </c>
      <c r="G16">
        <v>4.0008999999999997</v>
      </c>
      <c r="H16">
        <v>8.0199999999999998E-4</v>
      </c>
      <c r="I16">
        <v>4.0008999999999997</v>
      </c>
    </row>
    <row r="17" spans="1:9" x14ac:dyDescent="0.3">
      <c r="A17" s="1">
        <v>3.75</v>
      </c>
      <c r="B17" s="14">
        <v>3.74993</v>
      </c>
      <c r="D17" s="3">
        <f t="shared" si="1"/>
        <v>-7.0000000000014495E-2</v>
      </c>
      <c r="G17">
        <v>3.7509000000000001</v>
      </c>
      <c r="H17">
        <v>8.0000000000000004E-4</v>
      </c>
      <c r="I17">
        <v>3.7501000000000002</v>
      </c>
    </row>
    <row r="18" spans="1:9" x14ac:dyDescent="0.3">
      <c r="A18" s="1">
        <v>3.5</v>
      </c>
      <c r="B18" s="14">
        <v>3.5000200000000001</v>
      </c>
      <c r="D18" s="3">
        <f xml:space="preserve"> PRODUCT(B18-A18, 1000)</f>
        <v>2.0000000000131024E-2</v>
      </c>
      <c r="G18">
        <v>3.5009999999999999</v>
      </c>
      <c r="H18">
        <v>7.9900000000000001E-4</v>
      </c>
      <c r="I18">
        <v>3.5003000000000002</v>
      </c>
    </row>
    <row r="19" spans="1:9" x14ac:dyDescent="0.3">
      <c r="A19" s="1">
        <v>3.25</v>
      </c>
      <c r="B19" s="14">
        <v>3.2498</v>
      </c>
      <c r="D19" s="3">
        <f t="shared" si="1"/>
        <v>-0.19999999999997797</v>
      </c>
      <c r="G19">
        <v>3.2507999999999999</v>
      </c>
      <c r="H19">
        <v>7.9900000000000001E-4</v>
      </c>
      <c r="I19">
        <v>3.25</v>
      </c>
    </row>
    <row r="20" spans="1:9" x14ac:dyDescent="0.3">
      <c r="A20" s="1">
        <v>3</v>
      </c>
      <c r="B20" s="14">
        <v>2.9998999999999998</v>
      </c>
      <c r="D20" s="3">
        <f t="shared" ref="D20:D52" si="2" xml:space="preserve"> PRODUCT(B20-A20, 1000)</f>
        <v>-0.10000000000021103</v>
      </c>
      <c r="G20">
        <v>3.0009000000000001</v>
      </c>
      <c r="H20">
        <v>7.9799999999999999E-4</v>
      </c>
      <c r="I20">
        <v>3.0001000000000002</v>
      </c>
    </row>
    <row r="21" spans="1:9" x14ac:dyDescent="0.3">
      <c r="A21" s="1">
        <v>2</v>
      </c>
      <c r="B21" s="14">
        <v>1.9996</v>
      </c>
      <c r="D21" s="3">
        <f t="shared" si="2"/>
        <v>-0.39999999999995595</v>
      </c>
      <c r="G21">
        <v>2.0005999999999999</v>
      </c>
      <c r="H21">
        <v>7.9500000000000003E-4</v>
      </c>
      <c r="I21">
        <v>1.9998</v>
      </c>
    </row>
    <row r="22" spans="1:9" x14ac:dyDescent="0.3">
      <c r="A22" s="1">
        <v>1</v>
      </c>
      <c r="B22" s="14">
        <v>0.99965000000000004</v>
      </c>
      <c r="D22" s="3">
        <f t="shared" si="2"/>
        <v>-0.34999999999996145</v>
      </c>
      <c r="G22">
        <v>1.00075</v>
      </c>
      <c r="H22">
        <v>7.9100000000000004E-4</v>
      </c>
      <c r="I22">
        <v>0.99992999999999999</v>
      </c>
    </row>
    <row r="23" spans="1:9" x14ac:dyDescent="0.3">
      <c r="A23" s="1">
        <v>0.75</v>
      </c>
      <c r="B23" s="14">
        <v>0.74983999999999995</v>
      </c>
      <c r="D23" s="3">
        <f t="shared" si="2"/>
        <v>-0.16000000000004899</v>
      </c>
      <c r="G23">
        <v>0.75095000000000001</v>
      </c>
      <c r="H23">
        <v>7.9000000000000001E-4</v>
      </c>
      <c r="I23">
        <v>0.75014000000000003</v>
      </c>
    </row>
    <row r="24" spans="1:9" x14ac:dyDescent="0.3">
      <c r="A24" s="1">
        <v>0.5</v>
      </c>
      <c r="B24" s="14">
        <v>0.49967</v>
      </c>
      <c r="D24" s="3">
        <f t="shared" si="2"/>
        <v>-0.32999999999999696</v>
      </c>
      <c r="G24">
        <v>0.50080000000000002</v>
      </c>
      <c r="H24">
        <v>7.94E-4</v>
      </c>
      <c r="I24">
        <v>0.5</v>
      </c>
    </row>
    <row r="25" spans="1:9" x14ac:dyDescent="0.3">
      <c r="A25" s="1">
        <v>0.25</v>
      </c>
      <c r="B25" s="14">
        <v>0.24990000000000001</v>
      </c>
      <c r="D25" s="3">
        <f t="shared" si="2"/>
        <v>-9.9999999999988987E-2</v>
      </c>
      <c r="G25">
        <v>0.25102999999999998</v>
      </c>
      <c r="H25">
        <v>7.9299999999999998E-4</v>
      </c>
      <c r="I25">
        <v>0.25023000000000001</v>
      </c>
    </row>
    <row r="26" spans="1:9" x14ac:dyDescent="0.3">
      <c r="A26" s="1">
        <v>0.1</v>
      </c>
      <c r="B26" s="14">
        <v>9.98E-2</v>
      </c>
      <c r="D26" s="3">
        <f t="shared" si="2"/>
        <v>-0.20000000000000573</v>
      </c>
      <c r="G26">
        <v>0.10094</v>
      </c>
      <c r="H26">
        <v>7.94E-4</v>
      </c>
      <c r="I26">
        <v>0.10015</v>
      </c>
    </row>
    <row r="27" spans="1:9" x14ac:dyDescent="0.3">
      <c r="A27" s="1">
        <v>0.05</v>
      </c>
      <c r="B27" s="14">
        <v>4.9799999999999997E-2</v>
      </c>
      <c r="D27" s="3">
        <f t="shared" si="2"/>
        <v>-0.20000000000000573</v>
      </c>
      <c r="E27" s="11"/>
      <c r="G27">
        <v>5.0930000000000003E-2</v>
      </c>
      <c r="H27">
        <v>7.9900000000000001E-4</v>
      </c>
      <c r="I27">
        <v>5.0139999999999997E-2</v>
      </c>
    </row>
    <row r="28" spans="1:9" x14ac:dyDescent="0.3">
      <c r="A28" s="1">
        <v>0.02</v>
      </c>
      <c r="B28" s="14">
        <v>1.9900000000000001E-2</v>
      </c>
      <c r="D28" s="3">
        <f t="shared" si="2"/>
        <v>-9.9999999999999395E-2</v>
      </c>
      <c r="G28">
        <v>2.1059999999999999E-2</v>
      </c>
      <c r="H28">
        <v>7.9900000000000001E-4</v>
      </c>
      <c r="I28">
        <v>2.026E-2</v>
      </c>
    </row>
    <row r="29" spans="1:9" x14ac:dyDescent="0.3">
      <c r="A29" s="1">
        <v>0.01</v>
      </c>
      <c r="B29" s="14">
        <v>9.9000000000000008E-3</v>
      </c>
      <c r="D29" s="3">
        <f t="shared" si="2"/>
        <v>-9.9999999999999395E-2</v>
      </c>
      <c r="G29">
        <v>1.099E-2</v>
      </c>
      <c r="H29">
        <v>8.0000000000000004E-4</v>
      </c>
      <c r="I29">
        <v>1.018E-2</v>
      </c>
    </row>
    <row r="30" spans="1:9" x14ac:dyDescent="0.3">
      <c r="A30" s="7">
        <v>0</v>
      </c>
      <c r="B30" s="15">
        <v>1.8000000000000001E-4</v>
      </c>
      <c r="C30" s="8"/>
      <c r="D30" s="10">
        <f t="shared" si="2"/>
        <v>0.18000000000000002</v>
      </c>
      <c r="E30" s="9"/>
      <c r="F30" s="9"/>
      <c r="G30" s="9">
        <v>1.2800000000000001E-3</v>
      </c>
      <c r="H30" s="9">
        <v>7.9900000000000001E-4</v>
      </c>
      <c r="I30" s="9">
        <v>4.7199999999999998E-4</v>
      </c>
    </row>
    <row r="31" spans="1:9" x14ac:dyDescent="0.3">
      <c r="A31" s="1">
        <v>-0.01</v>
      </c>
      <c r="B31" s="14">
        <v>-1.038E-2</v>
      </c>
      <c r="D31" s="3">
        <f t="shared" si="2"/>
        <v>-0.38000000000000012</v>
      </c>
      <c r="G31">
        <v>-9.2499999999999995E-3</v>
      </c>
      <c r="H31" s="11">
        <v>7.9900000000000001E-4</v>
      </c>
      <c r="I31">
        <v>-1.0047E-2</v>
      </c>
    </row>
    <row r="32" spans="1:9" x14ac:dyDescent="0.3">
      <c r="A32" s="1">
        <v>-0.02</v>
      </c>
      <c r="B32" s="14">
        <v>-2.0459999999999999E-2</v>
      </c>
      <c r="D32" s="3">
        <f t="shared" si="2"/>
        <v>-0.45999999999999863</v>
      </c>
      <c r="G32">
        <v>-1.9324999999999998E-2</v>
      </c>
      <c r="H32">
        <v>8.03E-4</v>
      </c>
      <c r="I32">
        <v>-2.0129999999999999E-2</v>
      </c>
    </row>
    <row r="33" spans="1:9" x14ac:dyDescent="0.3">
      <c r="A33" s="1">
        <v>-0.05</v>
      </c>
      <c r="B33" s="14">
        <v>-5.0340000000000003E-2</v>
      </c>
      <c r="D33" s="3">
        <f t="shared" si="2"/>
        <v>-0.34</v>
      </c>
      <c r="G33">
        <v>-4.9200000000000001E-2</v>
      </c>
      <c r="H33">
        <v>8.03E-4</v>
      </c>
      <c r="I33">
        <v>-0.05</v>
      </c>
    </row>
    <row r="34" spans="1:9" x14ac:dyDescent="0.3">
      <c r="A34" s="1">
        <v>-0.1</v>
      </c>
      <c r="B34" s="14">
        <v>-0.10038</v>
      </c>
      <c r="D34" s="3">
        <f t="shared" si="2"/>
        <v>-0.37999999999999146</v>
      </c>
      <c r="G34">
        <v>-9.9220000000000003E-2</v>
      </c>
      <c r="H34">
        <v>8.0199999999999998E-4</v>
      </c>
      <c r="I34">
        <v>-0.10002999999999999</v>
      </c>
    </row>
    <row r="35" spans="1:9" x14ac:dyDescent="0.3">
      <c r="A35" s="1">
        <v>-0.25</v>
      </c>
      <c r="B35" s="14">
        <v>-0.25047000000000003</v>
      </c>
      <c r="D35" s="3">
        <f t="shared" si="2"/>
        <v>-0.47000000000002595</v>
      </c>
      <c r="G35">
        <v>-0.24932000000000001</v>
      </c>
      <c r="H35">
        <v>8.03E-4</v>
      </c>
      <c r="I35">
        <v>-0.25012000000000001</v>
      </c>
    </row>
    <row r="36" spans="1:9" x14ac:dyDescent="0.3">
      <c r="A36" s="1">
        <v>-0.5</v>
      </c>
      <c r="B36" s="14">
        <v>-0.50024000000000002</v>
      </c>
      <c r="D36" s="3">
        <f t="shared" si="2"/>
        <v>-0.24000000000001798</v>
      </c>
      <c r="G36">
        <v>-0.49908999999999998</v>
      </c>
      <c r="H36">
        <v>8.03E-4</v>
      </c>
      <c r="I36">
        <v>-0.49989</v>
      </c>
    </row>
    <row r="37" spans="1:9" x14ac:dyDescent="0.3">
      <c r="A37" s="1">
        <v>-0.75</v>
      </c>
      <c r="B37" s="14">
        <v>-0.75039999999999996</v>
      </c>
      <c r="D37" s="3">
        <f t="shared" si="2"/>
        <v>-0.39999999999995595</v>
      </c>
      <c r="G37">
        <v>-0.74924000000000002</v>
      </c>
      <c r="H37">
        <v>8.0199999999999998E-4</v>
      </c>
      <c r="I37">
        <v>-0.75004999999999999</v>
      </c>
    </row>
    <row r="38" spans="1:9" x14ac:dyDescent="0.3">
      <c r="A38" s="1">
        <v>-1</v>
      </c>
      <c r="B38" s="14">
        <v>-1.0001899999999999</v>
      </c>
      <c r="D38" s="3">
        <f t="shared" si="2"/>
        <v>-0.18999999999991246</v>
      </c>
      <c r="G38">
        <v>-0.99902999999999997</v>
      </c>
      <c r="H38">
        <v>8.0099999999999995E-4</v>
      </c>
      <c r="I38">
        <v>-0.99982000000000004</v>
      </c>
    </row>
    <row r="39" spans="1:9" x14ac:dyDescent="0.3">
      <c r="A39" s="1">
        <v>-2</v>
      </c>
      <c r="B39" s="14">
        <v>-2.0001000000000002</v>
      </c>
      <c r="D39" s="3">
        <f t="shared" si="2"/>
        <v>-0.10000000000021103</v>
      </c>
      <c r="G39">
        <v>-1.9988999999999999</v>
      </c>
      <c r="H39">
        <v>8.0099999999999995E-4</v>
      </c>
      <c r="I39">
        <v>-1.9997</v>
      </c>
    </row>
    <row r="40" spans="1:9" x14ac:dyDescent="0.3">
      <c r="A40" s="1">
        <v>-3</v>
      </c>
      <c r="B40" s="14">
        <v>-3.0004</v>
      </c>
      <c r="D40" s="3">
        <f t="shared" si="2"/>
        <v>-0.39999999999995595</v>
      </c>
      <c r="G40">
        <v>-2.9992000000000001</v>
      </c>
      <c r="H40">
        <v>8.0099999999999995E-4</v>
      </c>
      <c r="I40">
        <v>-3</v>
      </c>
    </row>
    <row r="41" spans="1:9" x14ac:dyDescent="0.3">
      <c r="A41" s="1">
        <v>-3.25</v>
      </c>
      <c r="B41" s="14">
        <v>-3.2503000000000002</v>
      </c>
      <c r="D41" s="3">
        <f t="shared" si="2"/>
        <v>-0.300000000000189</v>
      </c>
      <c r="G41">
        <v>-3.2490999999999999</v>
      </c>
      <c r="H41">
        <v>8.0199999999999998E-4</v>
      </c>
      <c r="I41">
        <v>-3.2498999999999998</v>
      </c>
    </row>
    <row r="42" spans="1:9" x14ac:dyDescent="0.3">
      <c r="A42" s="1">
        <v>-3.5</v>
      </c>
      <c r="B42" s="14">
        <v>-3.5005999999999999</v>
      </c>
      <c r="D42" s="3">
        <f t="shared" si="2"/>
        <v>-0.59999999999993392</v>
      </c>
      <c r="G42">
        <v>-3.4992999999999999</v>
      </c>
      <c r="H42">
        <v>8.0099999999999995E-4</v>
      </c>
      <c r="I42">
        <v>-3.5001000000000002</v>
      </c>
    </row>
    <row r="43" spans="1:9" x14ac:dyDescent="0.3">
      <c r="A43" s="1">
        <v>-3.75</v>
      </c>
      <c r="B43" s="14">
        <v>-3.7504599999999999</v>
      </c>
      <c r="D43" s="3">
        <f t="shared" si="2"/>
        <v>-0.45999999999990493</v>
      </c>
      <c r="G43">
        <v>-3.7492000000000001</v>
      </c>
      <c r="H43">
        <v>8.0099999999999995E-4</v>
      </c>
      <c r="I43">
        <v>-3.75</v>
      </c>
    </row>
    <row r="44" spans="1:9" x14ac:dyDescent="0.3">
      <c r="A44" s="1">
        <v>-4</v>
      </c>
      <c r="B44" s="14">
        <v>-4.0003000000000002</v>
      </c>
      <c r="D44" s="3">
        <f t="shared" si="2"/>
        <v>-0.300000000000189</v>
      </c>
      <c r="G44">
        <v>-3.9990000000000001</v>
      </c>
      <c r="H44">
        <v>8.0000000000000004E-4</v>
      </c>
      <c r="I44">
        <v>-3.9998999999999998</v>
      </c>
    </row>
    <row r="45" spans="1:9" x14ac:dyDescent="0.3">
      <c r="A45" s="1">
        <v>-4.4000000000000004</v>
      </c>
      <c r="B45" s="14">
        <v>-4.3997000000000002</v>
      </c>
      <c r="D45" s="3">
        <f t="shared" si="2"/>
        <v>0.300000000000189</v>
      </c>
      <c r="G45">
        <v>-4.3983999999999996</v>
      </c>
      <c r="H45">
        <v>8.0099999999999995E-4</v>
      </c>
      <c r="I45">
        <v>-4.3992000000000004</v>
      </c>
    </row>
    <row r="46" spans="1:9" x14ac:dyDescent="0.3">
      <c r="A46" s="1">
        <v>-4.5</v>
      </c>
      <c r="B46" s="14">
        <v>-4.4997999999999996</v>
      </c>
      <c r="D46" s="3">
        <f t="shared" si="2"/>
        <v>0.20000000000042206</v>
      </c>
      <c r="G46">
        <v>-4.4984999999999999</v>
      </c>
      <c r="H46">
        <v>8.0099999999999995E-4</v>
      </c>
      <c r="I46">
        <v>-4.4992999999999999</v>
      </c>
    </row>
    <row r="47" spans="1:9" x14ac:dyDescent="0.3">
      <c r="A47" s="1">
        <v>-4.5999999999999996</v>
      </c>
      <c r="B47" s="14">
        <v>-4.59992</v>
      </c>
      <c r="D47" s="3">
        <f t="shared" si="2"/>
        <v>7.9999999999635918E-2</v>
      </c>
      <c r="G47">
        <v>-4.5986000000000002</v>
      </c>
      <c r="H47">
        <v>8.0099999999999995E-4</v>
      </c>
      <c r="I47">
        <v>-4.5994000000000002</v>
      </c>
    </row>
    <row r="48" spans="1:9" x14ac:dyDescent="0.3">
      <c r="A48" s="1">
        <v>-4.75</v>
      </c>
      <c r="B48" s="14">
        <v>-4.75007</v>
      </c>
      <c r="D48" s="3">
        <f t="shared" si="2"/>
        <v>-7.0000000000014495E-2</v>
      </c>
      <c r="G48">
        <v>-4.7488000000000001</v>
      </c>
      <c r="H48">
        <v>8.0000000000000004E-4</v>
      </c>
      <c r="I48">
        <v>-4.7496</v>
      </c>
    </row>
    <row r="49" spans="1:9" x14ac:dyDescent="0.3">
      <c r="A49" s="1">
        <v>-4.9000000000000004</v>
      </c>
      <c r="B49" s="14">
        <v>-4.8998499999999998</v>
      </c>
      <c r="D49" s="3">
        <f t="shared" si="2"/>
        <v>0.15000000000053859</v>
      </c>
      <c r="G49">
        <v>-4.8985000000000003</v>
      </c>
      <c r="H49">
        <v>7.9900000000000001E-4</v>
      </c>
      <c r="I49">
        <v>-4.8994</v>
      </c>
    </row>
    <row r="50" spans="1:9" x14ac:dyDescent="0.3">
      <c r="A50" s="1">
        <v>-5</v>
      </c>
      <c r="B50" s="14">
        <v>-4.9999599999999997</v>
      </c>
      <c r="D50" s="3">
        <f t="shared" si="2"/>
        <v>4.0000000000262048E-2</v>
      </c>
      <c r="G50">
        <v>-4.9985999999999997</v>
      </c>
      <c r="H50">
        <v>7.9699999999999997E-4</v>
      </c>
      <c r="I50">
        <v>-4.9993999999999996</v>
      </c>
    </row>
    <row r="51" spans="1:9" x14ac:dyDescent="0.3">
      <c r="A51" s="1">
        <v>-5.0999999999999996</v>
      </c>
      <c r="B51" s="14">
        <v>-5.0983000000000001</v>
      </c>
      <c r="D51" s="3">
        <f t="shared" si="2"/>
        <v>1.6999999999995907</v>
      </c>
      <c r="G51">
        <v>-5.0987</v>
      </c>
      <c r="H51">
        <v>7.9600000000000005E-4</v>
      </c>
      <c r="I51">
        <v>-5.0994999999999999</v>
      </c>
    </row>
    <row r="52" spans="1:9" x14ac:dyDescent="0.3">
      <c r="A52" s="1">
        <v>-5.2</v>
      </c>
      <c r="B52" s="14">
        <v>-5.1386000000000003</v>
      </c>
      <c r="D52" s="3">
        <f t="shared" si="2"/>
        <v>61.399999999999899</v>
      </c>
      <c r="G52">
        <v>-5.1840000000000002</v>
      </c>
      <c r="H52">
        <v>7.8799999999999996E-4</v>
      </c>
      <c r="I52">
        <v>-5.1848000000000001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10B0-F6CA-425C-AFAB-03D2B3DC6E1B}">
  <dimension ref="A1:M64"/>
  <sheetViews>
    <sheetView tabSelected="1" zoomScale="80" zoomScaleNormal="80" workbookViewId="0">
      <selection activeCell="B19" sqref="B19"/>
    </sheetView>
  </sheetViews>
  <sheetFormatPr baseColWidth="10" defaultRowHeight="14.4" x14ac:dyDescent="0.3"/>
  <cols>
    <col min="4" max="5" width="13.77734375" customWidth="1"/>
    <col min="7" max="9" width="13.77734375" customWidth="1"/>
  </cols>
  <sheetData>
    <row r="1" spans="1:13" x14ac:dyDescent="0.3">
      <c r="A1" s="5" t="s">
        <v>15</v>
      </c>
      <c r="B1" s="5"/>
      <c r="C1" s="5"/>
      <c r="D1" s="5"/>
      <c r="E1" s="5"/>
      <c r="G1" s="6" t="s">
        <v>7</v>
      </c>
      <c r="H1" s="12" t="s">
        <v>21</v>
      </c>
    </row>
    <row r="2" spans="1:13" x14ac:dyDescent="0.3">
      <c r="A2" s="5" t="s">
        <v>16</v>
      </c>
      <c r="B2" s="5"/>
      <c r="C2" s="5"/>
      <c r="D2" s="5"/>
      <c r="E2" s="5"/>
      <c r="G2" s="6" t="s">
        <v>8</v>
      </c>
      <c r="H2" s="12" t="s">
        <v>17</v>
      </c>
      <c r="I2" s="13" t="s">
        <v>9</v>
      </c>
      <c r="M2" t="s">
        <v>13</v>
      </c>
    </row>
    <row r="4" spans="1:13" x14ac:dyDescent="0.3">
      <c r="A4" s="6" t="s">
        <v>0</v>
      </c>
      <c r="B4" s="16" t="s">
        <v>19</v>
      </c>
      <c r="C4" s="16"/>
      <c r="D4" s="16"/>
    </row>
    <row r="5" spans="1:13" x14ac:dyDescent="0.3">
      <c r="A5" s="6" t="s">
        <v>1</v>
      </c>
      <c r="B5" s="16" t="s">
        <v>20</v>
      </c>
      <c r="C5" s="16"/>
      <c r="D5" s="16"/>
    </row>
    <row r="7" spans="1:13" x14ac:dyDescent="0.3">
      <c r="A7" s="4" t="s">
        <v>14</v>
      </c>
      <c r="B7" s="4" t="s">
        <v>2</v>
      </c>
      <c r="C7" s="4"/>
      <c r="D7" s="4" t="s">
        <v>4</v>
      </c>
      <c r="E7" s="4" t="s">
        <v>5</v>
      </c>
      <c r="F7" s="4"/>
      <c r="G7" s="4" t="s">
        <v>10</v>
      </c>
      <c r="H7" s="4" t="s">
        <v>11</v>
      </c>
      <c r="I7" s="4" t="s">
        <v>12</v>
      </c>
    </row>
    <row r="8" spans="1:13" x14ac:dyDescent="0.3">
      <c r="A8" s="1">
        <v>5.2</v>
      </c>
      <c r="B8">
        <v>5.1422999999999996</v>
      </c>
      <c r="D8" s="3">
        <f t="shared" ref="D8:D9" si="0" xml:space="preserve"> PRODUCT(B8-A8, 1000)</f>
        <v>-57.700000000000529</v>
      </c>
      <c r="G8">
        <v>5.1859999999999999</v>
      </c>
      <c r="H8">
        <v>2.0999999999999999E-3</v>
      </c>
      <c r="I8">
        <v>5.1839000000000004</v>
      </c>
    </row>
    <row r="9" spans="1:13" x14ac:dyDescent="0.3">
      <c r="A9" s="1">
        <v>5.0999999999999996</v>
      </c>
      <c r="B9">
        <v>5.1013400000000004</v>
      </c>
      <c r="D9" s="3">
        <f t="shared" si="0"/>
        <v>1.340000000000785</v>
      </c>
      <c r="G9">
        <v>5.1519000000000004</v>
      </c>
      <c r="H9">
        <v>5.0070000000000003E-2</v>
      </c>
      <c r="I9">
        <v>5.1017999999999999</v>
      </c>
    </row>
    <row r="10" spans="1:13" x14ac:dyDescent="0.3">
      <c r="A10" s="1">
        <v>5</v>
      </c>
      <c r="B10" s="14">
        <v>5.0019200000000001</v>
      </c>
      <c r="D10" s="3">
        <f xml:space="preserve"> PRODUCT(B10-A10, 1000)</f>
        <v>1.9200000000001438</v>
      </c>
      <c r="G10">
        <v>5.1021999999999998</v>
      </c>
      <c r="H10">
        <v>0.10009999999999999</v>
      </c>
      <c r="I10">
        <v>5.0021000000000004</v>
      </c>
    </row>
    <row r="11" spans="1:13" x14ac:dyDescent="0.3">
      <c r="A11" s="1">
        <v>4.9000000000000004</v>
      </c>
      <c r="B11" s="14">
        <v>4.9017499999999998</v>
      </c>
      <c r="D11" s="3">
        <f t="shared" ref="D11:D52" si="1" xml:space="preserve"> PRODUCT(B11-A11, 1000)</f>
        <v>1.7499999999994742</v>
      </c>
      <c r="G11">
        <v>5.0522</v>
      </c>
      <c r="H11">
        <v>0.15024999999999999</v>
      </c>
      <c r="I11">
        <v>4.9019000000000004</v>
      </c>
    </row>
    <row r="12" spans="1:13" x14ac:dyDescent="0.3">
      <c r="A12" s="1">
        <v>4.75</v>
      </c>
      <c r="B12" s="14">
        <v>4.7514599999999998</v>
      </c>
      <c r="D12" s="3">
        <f t="shared" si="1"/>
        <v>1.4599999999997948</v>
      </c>
      <c r="G12">
        <v>4.9771000000000001</v>
      </c>
      <c r="H12">
        <v>0.22545999999999999</v>
      </c>
      <c r="I12">
        <v>4.7516999999999996</v>
      </c>
    </row>
    <row r="13" spans="1:13" x14ac:dyDescent="0.3">
      <c r="A13" s="1">
        <v>4.5999999999999996</v>
      </c>
      <c r="B13" s="14">
        <v>4.6011499999999996</v>
      </c>
      <c r="D13" s="3">
        <f t="shared" si="1"/>
        <v>1.1499999999999844</v>
      </c>
      <c r="G13">
        <v>4.9020000000000001</v>
      </c>
      <c r="H13">
        <v>0.30068</v>
      </c>
      <c r="I13">
        <v>4.6013000000000002</v>
      </c>
    </row>
    <row r="14" spans="1:13" x14ac:dyDescent="0.3">
      <c r="A14" s="1">
        <v>4.5</v>
      </c>
      <c r="B14" s="14">
        <v>4.5025500000000003</v>
      </c>
      <c r="D14" s="3">
        <f t="shared" si="1"/>
        <v>2.5500000000002743</v>
      </c>
      <c r="G14">
        <v>4.8520000000000003</v>
      </c>
      <c r="H14">
        <v>0.34925</v>
      </c>
      <c r="I14">
        <v>4.5026999999999999</v>
      </c>
    </row>
    <row r="15" spans="1:13" x14ac:dyDescent="0.3">
      <c r="A15" s="1">
        <v>4.4000000000000004</v>
      </c>
      <c r="B15" s="14">
        <v>4.4023599999999998</v>
      </c>
      <c r="D15" s="3">
        <f t="shared" si="1"/>
        <v>2.3599999999994736</v>
      </c>
      <c r="G15">
        <v>4.8018999999999998</v>
      </c>
      <c r="H15">
        <v>0.39938000000000001</v>
      </c>
      <c r="I15">
        <v>4.4024999999999999</v>
      </c>
    </row>
    <row r="16" spans="1:13" x14ac:dyDescent="0.3">
      <c r="A16" s="1">
        <v>4</v>
      </c>
      <c r="B16" s="14">
        <v>4.0019799999999996</v>
      </c>
      <c r="D16" s="3">
        <f t="shared" si="1"/>
        <v>1.9799999999996487</v>
      </c>
      <c r="G16">
        <v>4.6021000000000001</v>
      </c>
      <c r="H16">
        <v>0.59994999999999998</v>
      </c>
      <c r="I16">
        <v>4.0021000000000004</v>
      </c>
    </row>
    <row r="17" spans="1:9" x14ac:dyDescent="0.3">
      <c r="A17" s="1">
        <v>3.75</v>
      </c>
      <c r="B17" s="14">
        <v>3.7514799999999999</v>
      </c>
      <c r="D17" s="3">
        <f t="shared" si="1"/>
        <v>1.4799999999999258</v>
      </c>
      <c r="G17">
        <v>4.4768999999999997</v>
      </c>
      <c r="H17">
        <v>0.72528000000000004</v>
      </c>
      <c r="I17">
        <v>3.7517</v>
      </c>
    </row>
    <row r="18" spans="1:9" x14ac:dyDescent="0.3">
      <c r="A18" s="1">
        <v>3.5</v>
      </c>
      <c r="B18" s="14">
        <v>3.50136</v>
      </c>
      <c r="D18" s="3">
        <f xml:space="preserve"> PRODUCT(B18-A18, 1000)</f>
        <v>1.3600000000000279</v>
      </c>
      <c r="G18">
        <v>4.3517999999999999</v>
      </c>
      <c r="H18">
        <v>0.85063999999999995</v>
      </c>
      <c r="I18">
        <v>3.5021</v>
      </c>
    </row>
    <row r="19" spans="1:9" x14ac:dyDescent="0.3">
      <c r="A19" s="1">
        <v>3.25</v>
      </c>
      <c r="B19" s="14">
        <v>3.2523</v>
      </c>
      <c r="D19" s="3">
        <f t="shared" si="1"/>
        <v>2.2999999999999687</v>
      </c>
      <c r="G19">
        <v>4.2268999999999997</v>
      </c>
      <c r="H19">
        <v>0.97441</v>
      </c>
      <c r="I19">
        <v>3.2524999999999999</v>
      </c>
    </row>
    <row r="20" spans="1:9" x14ac:dyDescent="0.3">
      <c r="A20" s="1">
        <v>3</v>
      </c>
      <c r="B20" s="14">
        <v>3.0012500000000002</v>
      </c>
      <c r="D20" s="3">
        <f t="shared" si="1"/>
        <v>1.2500000000001954</v>
      </c>
      <c r="G20">
        <v>4.1012000000000004</v>
      </c>
      <c r="H20">
        <v>1.0997699999999999</v>
      </c>
      <c r="I20">
        <v>3.0013999999999998</v>
      </c>
    </row>
    <row r="21" spans="1:9" x14ac:dyDescent="0.3">
      <c r="A21" s="1">
        <v>2</v>
      </c>
      <c r="B21" s="14">
        <v>2.0009999999999999</v>
      </c>
      <c r="D21" s="3">
        <f t="shared" si="1"/>
        <v>0.99999999999988987</v>
      </c>
      <c r="G21">
        <v>3.6008</v>
      </c>
      <c r="H21">
        <v>1.5995999999999999</v>
      </c>
      <c r="I21">
        <v>2.0011999999999999</v>
      </c>
    </row>
    <row r="22" spans="1:9" x14ac:dyDescent="0.3">
      <c r="A22" s="1">
        <v>1</v>
      </c>
      <c r="B22" s="14">
        <v>0.99990999999999997</v>
      </c>
      <c r="D22" s="3">
        <f t="shared" si="1"/>
        <v>-9.0000000000034497E-2</v>
      </c>
      <c r="G22">
        <v>3.101</v>
      </c>
      <c r="H22">
        <v>2.101</v>
      </c>
      <c r="I22">
        <v>1.0000500000000001</v>
      </c>
    </row>
    <row r="23" spans="1:9" x14ac:dyDescent="0.3">
      <c r="A23" s="1">
        <v>0.75</v>
      </c>
      <c r="B23" s="14">
        <v>0.751</v>
      </c>
      <c r="D23" s="3">
        <f t="shared" si="1"/>
        <v>1.0000000000000009</v>
      </c>
      <c r="G23">
        <v>2.9759000000000002</v>
      </c>
      <c r="H23">
        <v>2.2248000000000001</v>
      </c>
      <c r="I23">
        <v>0.75114000000000003</v>
      </c>
    </row>
    <row r="24" spans="1:9" x14ac:dyDescent="0.3">
      <c r="A24" s="1">
        <v>0.5</v>
      </c>
      <c r="B24" s="14">
        <v>0.50053999999999998</v>
      </c>
      <c r="D24" s="3">
        <f t="shared" si="1"/>
        <v>0.53999999999998494</v>
      </c>
      <c r="G24">
        <v>2.8508</v>
      </c>
      <c r="H24">
        <v>2.3500999999999999</v>
      </c>
      <c r="I24">
        <v>0.50070000000000003</v>
      </c>
    </row>
    <row r="25" spans="1:9" x14ac:dyDescent="0.3">
      <c r="A25" s="1">
        <v>0.25</v>
      </c>
      <c r="B25" s="14">
        <v>0.25040000000000001</v>
      </c>
      <c r="D25" s="3">
        <f t="shared" si="1"/>
        <v>0.40000000000001146</v>
      </c>
      <c r="G25">
        <v>2.726</v>
      </c>
      <c r="H25">
        <v>2.4754999999999998</v>
      </c>
      <c r="I25">
        <v>0.25056</v>
      </c>
    </row>
    <row r="26" spans="1:9" x14ac:dyDescent="0.3">
      <c r="A26" s="1">
        <v>0.1</v>
      </c>
      <c r="B26" s="14">
        <v>0.10013</v>
      </c>
      <c r="D26" s="3">
        <f t="shared" si="1"/>
        <v>0.12999999999999123</v>
      </c>
      <c r="G26">
        <v>2.6509999999999998</v>
      </c>
      <c r="H26">
        <v>2.5506000000000002</v>
      </c>
      <c r="I26">
        <v>0.10029</v>
      </c>
    </row>
    <row r="27" spans="1:9" x14ac:dyDescent="0.3">
      <c r="A27" s="1">
        <v>0.05</v>
      </c>
      <c r="B27" s="14">
        <v>5.0040000000000001E-2</v>
      </c>
      <c r="D27" s="3">
        <f t="shared" si="1"/>
        <v>3.999999999999837E-2</v>
      </c>
      <c r="E27" s="11"/>
      <c r="G27">
        <v>2.6259000000000001</v>
      </c>
      <c r="H27">
        <v>2.5756999999999999</v>
      </c>
      <c r="I27">
        <v>5.0189999999999999E-2</v>
      </c>
    </row>
    <row r="28" spans="1:9" x14ac:dyDescent="0.3">
      <c r="A28" s="1">
        <v>0.02</v>
      </c>
      <c r="B28" s="14">
        <v>2.0979999999999999E-2</v>
      </c>
      <c r="D28" s="3">
        <f t="shared" si="1"/>
        <v>0.97999999999999821</v>
      </c>
      <c r="G28">
        <v>2.6110000000000002</v>
      </c>
      <c r="H28">
        <v>2.5897999999999999</v>
      </c>
      <c r="I28">
        <v>2.1129999999999999E-2</v>
      </c>
    </row>
    <row r="29" spans="1:9" x14ac:dyDescent="0.3">
      <c r="A29" s="1">
        <v>0.01</v>
      </c>
      <c r="B29" s="14">
        <v>9.4999999999999998E-3</v>
      </c>
      <c r="D29" s="3">
        <f t="shared" si="1"/>
        <v>-0.50000000000000044</v>
      </c>
      <c r="G29">
        <v>2.6057999999999999</v>
      </c>
      <c r="H29">
        <v>2.5960999999999999</v>
      </c>
      <c r="I29">
        <v>9.6399999999999993E-3</v>
      </c>
    </row>
    <row r="30" spans="1:9" x14ac:dyDescent="0.3">
      <c r="A30" s="7">
        <v>0</v>
      </c>
      <c r="B30" s="15">
        <v>5.0000000000000002E-5</v>
      </c>
      <c r="C30" s="8"/>
      <c r="D30" s="10">
        <f t="shared" si="1"/>
        <v>0.05</v>
      </c>
      <c r="E30" s="9"/>
      <c r="F30" s="9"/>
      <c r="G30" s="9">
        <v>2.6009000000000002</v>
      </c>
      <c r="H30" s="9">
        <v>2.6008</v>
      </c>
      <c r="I30" s="9">
        <v>1E-4</v>
      </c>
    </row>
    <row r="31" spans="1:9" x14ac:dyDescent="0.3">
      <c r="A31" s="1">
        <v>-0.01</v>
      </c>
      <c r="B31" s="14">
        <v>-9.58E-3</v>
      </c>
      <c r="D31" s="3">
        <f t="shared" si="1"/>
        <v>0.42000000000000026</v>
      </c>
      <c r="G31" s="11">
        <v>2.5960000000000001</v>
      </c>
      <c r="H31" s="11">
        <v>2.6055000000000001</v>
      </c>
      <c r="I31" s="11">
        <v>-9.4599999999999997E-3</v>
      </c>
    </row>
    <row r="32" spans="1:9" x14ac:dyDescent="0.3">
      <c r="A32" s="1">
        <v>-0.02</v>
      </c>
      <c r="B32" s="14">
        <v>-1.951E-2</v>
      </c>
      <c r="D32" s="3">
        <f t="shared" si="1"/>
        <v>0.49000000000000088</v>
      </c>
      <c r="G32" s="11">
        <v>2.5908000000000002</v>
      </c>
      <c r="H32" s="11">
        <v>2.6101999999999999</v>
      </c>
      <c r="I32" s="11">
        <v>-1.9400000000000001E-2</v>
      </c>
    </row>
    <row r="33" spans="1:9" x14ac:dyDescent="0.3">
      <c r="A33" s="1">
        <v>-0.05</v>
      </c>
      <c r="B33" s="14">
        <v>-5.0139999999999997E-2</v>
      </c>
      <c r="D33" s="3">
        <f t="shared" si="1"/>
        <v>-0.1399999999999943</v>
      </c>
      <c r="G33" s="11">
        <v>2.5758999999999999</v>
      </c>
      <c r="H33" s="11">
        <v>2.6259000000000001</v>
      </c>
      <c r="I33" s="11">
        <v>-0.05</v>
      </c>
    </row>
    <row r="34" spans="1:9" x14ac:dyDescent="0.3">
      <c r="A34" s="1">
        <v>-0.1</v>
      </c>
      <c r="B34" s="14">
        <v>-0.10025000000000001</v>
      </c>
      <c r="D34" s="3">
        <f t="shared" si="1"/>
        <v>-0.25000000000000022</v>
      </c>
      <c r="G34" s="11">
        <v>2.5508000000000002</v>
      </c>
      <c r="H34" s="11">
        <v>2.6509</v>
      </c>
      <c r="I34" s="11">
        <v>-0.10009999999999999</v>
      </c>
    </row>
    <row r="35" spans="1:9" x14ac:dyDescent="0.3">
      <c r="A35" s="1">
        <v>-0.25</v>
      </c>
      <c r="B35" s="14">
        <v>-0.24898999999999999</v>
      </c>
      <c r="D35" s="3">
        <f t="shared" si="1"/>
        <v>1.0100000000000109</v>
      </c>
      <c r="G35" s="11">
        <v>2.4758</v>
      </c>
      <c r="H35" s="11">
        <v>2.7246000000000001</v>
      </c>
      <c r="I35" s="11">
        <v>-0.24883</v>
      </c>
    </row>
    <row r="36" spans="1:9" x14ac:dyDescent="0.3">
      <c r="A36" s="1">
        <v>-0.5</v>
      </c>
      <c r="B36" s="14">
        <v>-0.49906</v>
      </c>
      <c r="D36" s="3">
        <f t="shared" si="1"/>
        <v>0.93999999999999639</v>
      </c>
      <c r="G36" s="11">
        <v>2.351</v>
      </c>
      <c r="H36" s="11">
        <v>2.8498999999999999</v>
      </c>
      <c r="I36" s="11">
        <v>-0.49892999999999998</v>
      </c>
    </row>
    <row r="37" spans="1:9" x14ac:dyDescent="0.3">
      <c r="A37" s="1">
        <v>-0.75</v>
      </c>
      <c r="B37" s="14">
        <v>-0.74953999999999998</v>
      </c>
      <c r="D37" s="3">
        <f t="shared" si="1"/>
        <v>0.46000000000001595</v>
      </c>
      <c r="G37" s="11">
        <v>2.2259000000000002</v>
      </c>
      <c r="H37" s="11">
        <v>2.9752999999999998</v>
      </c>
      <c r="I37" s="11">
        <v>-0.74939999999999996</v>
      </c>
    </row>
    <row r="38" spans="1:9" x14ac:dyDescent="0.3">
      <c r="A38" s="1">
        <v>-1</v>
      </c>
      <c r="B38" s="14">
        <v>-1.00003</v>
      </c>
      <c r="D38" s="3">
        <f t="shared" si="1"/>
        <v>-2.9999999999974492E-2</v>
      </c>
      <c r="G38" s="11">
        <v>2.1006999999999998</v>
      </c>
      <c r="H38" s="11">
        <v>3.1006</v>
      </c>
      <c r="I38" s="11">
        <v>-0.99987999999999999</v>
      </c>
    </row>
    <row r="39" spans="1:9" x14ac:dyDescent="0.3">
      <c r="A39" s="1">
        <v>-2</v>
      </c>
      <c r="B39" s="14">
        <v>-2.0001000000000002</v>
      </c>
      <c r="D39" s="3">
        <f t="shared" si="1"/>
        <v>-0.10000000000021103</v>
      </c>
      <c r="G39" s="11">
        <v>1.6005</v>
      </c>
      <c r="H39" s="11">
        <v>3.6004</v>
      </c>
      <c r="I39" s="11">
        <v>-2</v>
      </c>
    </row>
    <row r="40" spans="1:9" x14ac:dyDescent="0.3">
      <c r="A40" s="1">
        <v>-3</v>
      </c>
      <c r="B40" s="14">
        <v>-2.9998</v>
      </c>
      <c r="D40" s="3">
        <f t="shared" si="1"/>
        <v>0.19999999999997797</v>
      </c>
      <c r="G40" s="11">
        <v>1.1008199999999999</v>
      </c>
      <c r="H40" s="11">
        <v>4.1003999999999996</v>
      </c>
      <c r="I40" s="11">
        <v>-2.9996</v>
      </c>
    </row>
    <row r="41" spans="1:9" x14ac:dyDescent="0.3">
      <c r="A41" s="1">
        <v>-3.25</v>
      </c>
      <c r="B41" s="14">
        <v>-3.2505999999999999</v>
      </c>
      <c r="D41" s="3">
        <f t="shared" si="1"/>
        <v>-0.59999999999993392</v>
      </c>
      <c r="G41" s="11">
        <v>0.97572999999999999</v>
      </c>
      <c r="H41" s="11">
        <v>4.2262000000000004</v>
      </c>
      <c r="I41" s="11">
        <v>-3.2504</v>
      </c>
    </row>
    <row r="42" spans="1:9" x14ac:dyDescent="0.3">
      <c r="A42" s="1">
        <v>-3.5</v>
      </c>
      <c r="B42" s="14">
        <v>-3.5011999999999999</v>
      </c>
      <c r="D42" s="3">
        <f t="shared" si="1"/>
        <v>-1.1999999999998678</v>
      </c>
      <c r="G42" s="11">
        <v>0.85065000000000002</v>
      </c>
      <c r="H42" s="11">
        <v>4.3517000000000001</v>
      </c>
      <c r="I42" s="11">
        <v>-3.5009999999999999</v>
      </c>
    </row>
    <row r="43" spans="1:9" x14ac:dyDescent="0.3">
      <c r="A43" s="1">
        <v>-3.75</v>
      </c>
      <c r="B43" s="14">
        <v>-3.7512300000000001</v>
      </c>
      <c r="D43" s="3">
        <f t="shared" si="1"/>
        <v>-1.2300000000000644</v>
      </c>
      <c r="G43" s="11">
        <v>0.72594999999999998</v>
      </c>
      <c r="H43" s="11">
        <v>4.4770000000000003</v>
      </c>
      <c r="I43" s="11">
        <v>-3.7511000000000001</v>
      </c>
    </row>
    <row r="44" spans="1:9" x14ac:dyDescent="0.3">
      <c r="A44" s="1">
        <v>-4</v>
      </c>
      <c r="B44" s="14">
        <v>-4</v>
      </c>
      <c r="D44" s="3">
        <f t="shared" si="1"/>
        <v>0</v>
      </c>
      <c r="G44" s="11">
        <v>0.60087999999999997</v>
      </c>
      <c r="H44" s="11">
        <v>4.6007999999999996</v>
      </c>
      <c r="I44" s="11">
        <v>-4</v>
      </c>
    </row>
    <row r="45" spans="1:9" x14ac:dyDescent="0.3">
      <c r="A45" s="1">
        <v>-4.4000000000000004</v>
      </c>
      <c r="B45" s="14">
        <v>-4.4007800000000001</v>
      </c>
      <c r="D45" s="3">
        <f t="shared" si="1"/>
        <v>-0.77999999999978087</v>
      </c>
      <c r="G45" s="11">
        <v>0.40075</v>
      </c>
      <c r="H45" s="11">
        <v>4.8014000000000001</v>
      </c>
      <c r="I45" s="11">
        <v>-4.4006999999999996</v>
      </c>
    </row>
    <row r="46" spans="1:9" x14ac:dyDescent="0.3">
      <c r="A46" s="1">
        <v>-4.5</v>
      </c>
      <c r="B46" s="14">
        <v>-4.5006000000000004</v>
      </c>
      <c r="D46" s="3">
        <f t="shared" si="1"/>
        <v>-0.60000000000037801</v>
      </c>
      <c r="G46" s="11">
        <v>0.35110000000000002</v>
      </c>
      <c r="H46" s="11">
        <v>4.8516000000000004</v>
      </c>
      <c r="I46" s="11">
        <v>-4.5004999999999997</v>
      </c>
    </row>
    <row r="47" spans="1:9" x14ac:dyDescent="0.3">
      <c r="A47" s="1">
        <v>-4.5999999999999996</v>
      </c>
      <c r="B47" s="14">
        <v>-4.6007499999999997</v>
      </c>
      <c r="D47" s="3">
        <f t="shared" si="1"/>
        <v>-0.75000000000002842</v>
      </c>
      <c r="G47" s="11">
        <v>0.30107</v>
      </c>
      <c r="H47" s="11">
        <v>4.9016999999999999</v>
      </c>
      <c r="I47" s="11">
        <v>-4.6006</v>
      </c>
    </row>
    <row r="48" spans="1:9" x14ac:dyDescent="0.3">
      <c r="A48" s="1">
        <v>-4.75</v>
      </c>
      <c r="B48" s="14">
        <v>-4.7510000000000003</v>
      </c>
      <c r="D48" s="3">
        <f t="shared" si="1"/>
        <v>-1.000000000000334</v>
      </c>
      <c r="G48" s="11">
        <v>0.22603000000000001</v>
      </c>
      <c r="H48" s="11">
        <v>4.9768999999999997</v>
      </c>
      <c r="I48" s="11">
        <v>-4.7508999999999997</v>
      </c>
    </row>
    <row r="49" spans="1:11" x14ac:dyDescent="0.3">
      <c r="A49" s="1">
        <v>-4.9000000000000004</v>
      </c>
      <c r="B49" s="14">
        <v>-4.9012799999999999</v>
      </c>
      <c r="D49" s="3">
        <f t="shared" si="1"/>
        <v>-1.2799999999995038</v>
      </c>
      <c r="G49" s="11">
        <v>0.15099000000000001</v>
      </c>
      <c r="H49" s="11">
        <v>5.0521000000000003</v>
      </c>
      <c r="I49" s="11">
        <v>-4.9010999999999996</v>
      </c>
    </row>
    <row r="50" spans="1:11" x14ac:dyDescent="0.3">
      <c r="A50" s="1">
        <v>-5</v>
      </c>
      <c r="B50" s="14">
        <v>-5.0014000000000003</v>
      </c>
      <c r="D50" s="3">
        <f t="shared" si="1"/>
        <v>-1.4000000000002899</v>
      </c>
      <c r="G50" s="11">
        <v>0.10095999999999999</v>
      </c>
      <c r="H50" s="11">
        <v>5.1021999999999998</v>
      </c>
      <c r="I50" s="11">
        <v>-5.0012999999999996</v>
      </c>
    </row>
    <row r="51" spans="1:11" x14ac:dyDescent="0.3">
      <c r="A51" s="1">
        <v>-5.0999999999999996</v>
      </c>
      <c r="B51" s="14">
        <v>-5.0994200000000003</v>
      </c>
      <c r="D51" s="3">
        <f t="shared" si="1"/>
        <v>0.57999999999935881</v>
      </c>
      <c r="G51" s="11">
        <v>5.092E-2</v>
      </c>
      <c r="H51" s="11">
        <v>5.1508000000000003</v>
      </c>
      <c r="I51" s="11">
        <v>-5.0998999999999999</v>
      </c>
    </row>
    <row r="52" spans="1:11" x14ac:dyDescent="0.3">
      <c r="A52" s="1">
        <v>-5.2</v>
      </c>
      <c r="B52" s="14">
        <v>-5.1414799999999996</v>
      </c>
      <c r="D52" s="3">
        <f t="shared" si="1"/>
        <v>58.520000000000572</v>
      </c>
      <c r="G52" s="11">
        <v>1.2600000000000001E-3</v>
      </c>
      <c r="H52" s="11">
        <v>5.1859999999999999</v>
      </c>
      <c r="I52" s="11">
        <v>-5.1848000000000001</v>
      </c>
    </row>
    <row r="61" spans="1:11" x14ac:dyDescent="0.3">
      <c r="J61" s="1"/>
      <c r="K61" s="2"/>
    </row>
    <row r="62" spans="1:11" x14ac:dyDescent="0.3">
      <c r="J62" s="1"/>
      <c r="K62" s="2"/>
    </row>
    <row r="63" spans="1:11" x14ac:dyDescent="0.3">
      <c r="K63" s="2"/>
    </row>
    <row r="64" spans="1:11" x14ac:dyDescent="0.3">
      <c r="J64" s="1"/>
    </row>
  </sheetData>
  <mergeCells count="2">
    <mergeCell ref="B4:D4"/>
    <mergeCell ref="B5:D5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Single-ended</vt:lpstr>
      <vt:lpstr>Fully Differential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cp:lastPrinted>2020-06-23T11:48:45Z</cp:lastPrinted>
  <dcterms:created xsi:type="dcterms:W3CDTF">2020-06-08T07:35:06Z</dcterms:created>
  <dcterms:modified xsi:type="dcterms:W3CDTF">2020-07-13T10:42:36Z</dcterms:modified>
</cp:coreProperties>
</file>